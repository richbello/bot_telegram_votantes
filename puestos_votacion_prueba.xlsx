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chb\Downloads\"/>
    </mc:Choice>
  </mc:AlternateContent>
  <xr:revisionPtr revIDLastSave="0" documentId="13_ncr:1_{A6E6331E-ABBD-40A7-AFF6-A9AC44F5AF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otantes" sheetId="1" r:id="rId1"/>
    <sheet name="Puestos" sheetId="2" r:id="rId2"/>
    <sheet name="Resumen municipio" sheetId="3" r:id="rId3"/>
  </sheets>
  <definedNames>
    <definedName name="_xlnm._FilterDatabase" localSheetId="0" hidden="1">Votantes!$A$1:$L$61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3" l="1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7" i="3" s="1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51" i="2" s="1"/>
  <c r="I61" i="1"/>
  <c r="H61" i="1"/>
  <c r="G61" i="1"/>
  <c r="E61" i="1"/>
  <c r="D61" i="1"/>
  <c r="C61" i="1"/>
  <c r="B61" i="1"/>
  <c r="I60" i="1"/>
  <c r="H60" i="1"/>
  <c r="G60" i="1"/>
  <c r="E60" i="1"/>
  <c r="D60" i="1"/>
  <c r="C60" i="1"/>
  <c r="B60" i="1"/>
  <c r="I59" i="1"/>
  <c r="H59" i="1"/>
  <c r="G59" i="1"/>
  <c r="E59" i="1"/>
  <c r="D59" i="1"/>
  <c r="C59" i="1"/>
  <c r="B59" i="1"/>
  <c r="I58" i="1"/>
  <c r="H58" i="1"/>
  <c r="G58" i="1"/>
  <c r="E58" i="1"/>
  <c r="D58" i="1"/>
  <c r="C58" i="1"/>
  <c r="B58" i="1"/>
  <c r="I57" i="1"/>
  <c r="H57" i="1"/>
  <c r="G57" i="1"/>
  <c r="E57" i="1"/>
  <c r="D57" i="1"/>
  <c r="C57" i="1"/>
  <c r="B57" i="1"/>
  <c r="I56" i="1"/>
  <c r="H56" i="1"/>
  <c r="G56" i="1"/>
  <c r="E56" i="1"/>
  <c r="D56" i="1"/>
  <c r="C56" i="1"/>
  <c r="B56" i="1"/>
  <c r="I55" i="1"/>
  <c r="H55" i="1"/>
  <c r="G55" i="1"/>
  <c r="E55" i="1"/>
  <c r="D55" i="1"/>
  <c r="C55" i="1"/>
  <c r="B55" i="1"/>
  <c r="I54" i="1"/>
  <c r="H54" i="1"/>
  <c r="G54" i="1"/>
  <c r="E54" i="1"/>
  <c r="D54" i="1"/>
  <c r="C54" i="1"/>
  <c r="B54" i="1"/>
  <c r="I53" i="1"/>
  <c r="H53" i="1"/>
  <c r="G53" i="1"/>
  <c r="E53" i="1"/>
  <c r="D53" i="1"/>
  <c r="C53" i="1"/>
  <c r="B53" i="1"/>
  <c r="I52" i="1"/>
  <c r="H52" i="1"/>
  <c r="G52" i="1"/>
  <c r="E52" i="1"/>
  <c r="D52" i="1"/>
  <c r="C52" i="1"/>
  <c r="B52" i="1"/>
  <c r="I51" i="1"/>
  <c r="H51" i="1"/>
  <c r="G51" i="1"/>
  <c r="E51" i="1"/>
  <c r="D51" i="1"/>
  <c r="C51" i="1"/>
  <c r="B51" i="1"/>
  <c r="I50" i="1"/>
  <c r="H50" i="1"/>
  <c r="G50" i="1"/>
  <c r="E50" i="1"/>
  <c r="D50" i="1"/>
  <c r="C50" i="1"/>
  <c r="B50" i="1"/>
  <c r="I49" i="1"/>
  <c r="H49" i="1"/>
  <c r="G49" i="1"/>
  <c r="E49" i="1"/>
  <c r="D49" i="1"/>
  <c r="C49" i="1"/>
  <c r="B49" i="1"/>
  <c r="I48" i="1"/>
  <c r="H48" i="1"/>
  <c r="G48" i="1"/>
  <c r="E48" i="1"/>
  <c r="D48" i="1"/>
  <c r="C48" i="1"/>
  <c r="B48" i="1"/>
  <c r="I47" i="1"/>
  <c r="H47" i="1"/>
  <c r="G47" i="1"/>
  <c r="E47" i="1"/>
  <c r="D47" i="1"/>
  <c r="C47" i="1"/>
  <c r="B47" i="1"/>
  <c r="I46" i="1"/>
  <c r="H46" i="1"/>
  <c r="G46" i="1"/>
  <c r="E46" i="1"/>
  <c r="D46" i="1"/>
  <c r="C46" i="1"/>
  <c r="B46" i="1"/>
  <c r="I45" i="1"/>
  <c r="H45" i="1"/>
  <c r="G45" i="1"/>
  <c r="E45" i="1"/>
  <c r="D45" i="1"/>
  <c r="C45" i="1"/>
  <c r="B45" i="1"/>
  <c r="I44" i="1"/>
  <c r="H44" i="1"/>
  <c r="G44" i="1"/>
  <c r="E44" i="1"/>
  <c r="D44" i="1"/>
  <c r="C44" i="1"/>
  <c r="B44" i="1"/>
  <c r="I43" i="1"/>
  <c r="H43" i="1"/>
  <c r="G43" i="1"/>
  <c r="E43" i="1"/>
  <c r="D43" i="1"/>
  <c r="C43" i="1"/>
  <c r="B43" i="1"/>
  <c r="I42" i="1"/>
  <c r="H42" i="1"/>
  <c r="G42" i="1"/>
  <c r="E42" i="1"/>
  <c r="D42" i="1"/>
  <c r="C42" i="1"/>
  <c r="B42" i="1"/>
  <c r="I41" i="1"/>
  <c r="H41" i="1"/>
  <c r="G41" i="1"/>
  <c r="E41" i="1"/>
  <c r="D41" i="1"/>
  <c r="C41" i="1"/>
  <c r="B41" i="1"/>
  <c r="I40" i="1"/>
  <c r="H40" i="1"/>
  <c r="G40" i="1"/>
  <c r="E40" i="1"/>
  <c r="D40" i="1"/>
  <c r="C40" i="1"/>
  <c r="B40" i="1"/>
  <c r="I39" i="1"/>
  <c r="H39" i="1"/>
  <c r="G39" i="1"/>
  <c r="E39" i="1"/>
  <c r="D39" i="1"/>
  <c r="C39" i="1"/>
  <c r="B39" i="1"/>
  <c r="I38" i="1"/>
  <c r="H38" i="1"/>
  <c r="G38" i="1"/>
  <c r="E38" i="1"/>
  <c r="D38" i="1"/>
  <c r="C38" i="1"/>
  <c r="B38" i="1"/>
  <c r="I37" i="1"/>
  <c r="H37" i="1"/>
  <c r="G37" i="1"/>
  <c r="E37" i="1"/>
  <c r="D37" i="1"/>
  <c r="C37" i="1"/>
  <c r="B37" i="1"/>
  <c r="I36" i="1"/>
  <c r="H36" i="1"/>
  <c r="G36" i="1"/>
  <c r="E36" i="1"/>
  <c r="D36" i="1"/>
  <c r="C36" i="1"/>
  <c r="B36" i="1"/>
  <c r="I35" i="1"/>
  <c r="H35" i="1"/>
  <c r="G35" i="1"/>
  <c r="E35" i="1"/>
  <c r="D35" i="1"/>
  <c r="C35" i="1"/>
  <c r="B35" i="1"/>
  <c r="I34" i="1"/>
  <c r="H34" i="1"/>
  <c r="G34" i="1"/>
  <c r="E34" i="1"/>
  <c r="D34" i="1"/>
  <c r="C34" i="1"/>
  <c r="B34" i="1"/>
  <c r="I33" i="1"/>
  <c r="H33" i="1"/>
  <c r="G33" i="1"/>
  <c r="E33" i="1"/>
  <c r="D33" i="1"/>
  <c r="C33" i="1"/>
  <c r="B33" i="1"/>
  <c r="I32" i="1"/>
  <c r="H32" i="1"/>
  <c r="G32" i="1"/>
  <c r="E32" i="1"/>
  <c r="D32" i="1"/>
  <c r="C32" i="1"/>
  <c r="B32" i="1"/>
  <c r="I31" i="1"/>
  <c r="H31" i="1"/>
  <c r="G31" i="1"/>
  <c r="E31" i="1"/>
  <c r="D31" i="1"/>
  <c r="C31" i="1"/>
  <c r="B31" i="1"/>
  <c r="I30" i="1"/>
  <c r="H30" i="1"/>
  <c r="G30" i="1"/>
  <c r="E30" i="1"/>
  <c r="D30" i="1"/>
  <c r="C30" i="1"/>
  <c r="B30" i="1"/>
  <c r="I29" i="1"/>
  <c r="H29" i="1"/>
  <c r="G29" i="1"/>
  <c r="E29" i="1"/>
  <c r="D29" i="1"/>
  <c r="C29" i="1"/>
  <c r="B29" i="1"/>
  <c r="I28" i="1"/>
  <c r="H28" i="1"/>
  <c r="G28" i="1"/>
  <c r="E28" i="1"/>
  <c r="D28" i="1"/>
  <c r="C28" i="1"/>
  <c r="B28" i="1"/>
  <c r="I27" i="1"/>
  <c r="H27" i="1"/>
  <c r="G27" i="1"/>
  <c r="E27" i="1"/>
  <c r="D27" i="1"/>
  <c r="C27" i="1"/>
  <c r="B27" i="1"/>
  <c r="I26" i="1"/>
  <c r="H26" i="1"/>
  <c r="G26" i="1"/>
  <c r="E26" i="1"/>
  <c r="D26" i="1"/>
  <c r="C26" i="1"/>
  <c r="B26" i="1"/>
  <c r="I25" i="1"/>
  <c r="H25" i="1"/>
  <c r="G25" i="1"/>
  <c r="E25" i="1"/>
  <c r="D25" i="1"/>
  <c r="C25" i="1"/>
  <c r="B25" i="1"/>
  <c r="I24" i="1"/>
  <c r="H24" i="1"/>
  <c r="G24" i="1"/>
  <c r="E24" i="1"/>
  <c r="D24" i="1"/>
  <c r="C24" i="1"/>
  <c r="B24" i="1"/>
  <c r="I23" i="1"/>
  <c r="H23" i="1"/>
  <c r="G23" i="1"/>
  <c r="E23" i="1"/>
  <c r="D23" i="1"/>
  <c r="C23" i="1"/>
  <c r="B23" i="1"/>
  <c r="I22" i="1"/>
  <c r="H22" i="1"/>
  <c r="G22" i="1"/>
  <c r="E22" i="1"/>
  <c r="D22" i="1"/>
  <c r="C22" i="1"/>
  <c r="B22" i="1"/>
  <c r="I21" i="1"/>
  <c r="H21" i="1"/>
  <c r="G21" i="1"/>
  <c r="E21" i="1"/>
  <c r="D21" i="1"/>
  <c r="C21" i="1"/>
  <c r="B21" i="1"/>
  <c r="I20" i="1"/>
  <c r="H20" i="1"/>
  <c r="G20" i="1"/>
  <c r="E20" i="1"/>
  <c r="D20" i="1"/>
  <c r="C20" i="1"/>
  <c r="B20" i="1"/>
  <c r="I19" i="1"/>
  <c r="H19" i="1"/>
  <c r="G19" i="1"/>
  <c r="E19" i="1"/>
  <c r="D19" i="1"/>
  <c r="C19" i="1"/>
  <c r="B19" i="1"/>
  <c r="I18" i="1"/>
  <c r="H18" i="1"/>
  <c r="G18" i="1"/>
  <c r="E18" i="1"/>
  <c r="D18" i="1"/>
  <c r="C18" i="1"/>
  <c r="B18" i="1"/>
  <c r="I17" i="1"/>
  <c r="H17" i="1"/>
  <c r="G17" i="1"/>
  <c r="E17" i="1"/>
  <c r="D17" i="1"/>
  <c r="C17" i="1"/>
  <c r="B17" i="1"/>
  <c r="I16" i="1"/>
  <c r="H16" i="1"/>
  <c r="G16" i="1"/>
  <c r="E16" i="1"/>
  <c r="D16" i="1"/>
  <c r="C16" i="1"/>
  <c r="B16" i="1"/>
  <c r="I15" i="1"/>
  <c r="H15" i="1"/>
  <c r="G15" i="1"/>
  <c r="E15" i="1"/>
  <c r="D15" i="1"/>
  <c r="C15" i="1"/>
  <c r="B15" i="1"/>
  <c r="I14" i="1"/>
  <c r="H14" i="1"/>
  <c r="G14" i="1"/>
  <c r="E14" i="1"/>
  <c r="D14" i="1"/>
  <c r="C14" i="1"/>
  <c r="B14" i="1"/>
  <c r="I13" i="1"/>
  <c r="H13" i="1"/>
  <c r="G13" i="1"/>
  <c r="E13" i="1"/>
  <c r="D13" i="1"/>
  <c r="C13" i="1"/>
  <c r="B13" i="1"/>
  <c r="I12" i="1"/>
  <c r="H12" i="1"/>
  <c r="G12" i="1"/>
  <c r="E12" i="1"/>
  <c r="D12" i="1"/>
  <c r="C12" i="1"/>
  <c r="B12" i="1"/>
  <c r="I11" i="1"/>
  <c r="H11" i="1"/>
  <c r="G11" i="1"/>
  <c r="E11" i="1"/>
  <c r="D11" i="1"/>
  <c r="C11" i="1"/>
  <c r="B11" i="1"/>
  <c r="I10" i="1"/>
  <c r="H10" i="1"/>
  <c r="G10" i="1"/>
  <c r="E10" i="1"/>
  <c r="D10" i="1"/>
  <c r="C10" i="1"/>
  <c r="B10" i="1"/>
  <c r="I9" i="1"/>
  <c r="H9" i="1"/>
  <c r="G9" i="1"/>
  <c r="E9" i="1"/>
  <c r="D9" i="1"/>
  <c r="C9" i="1"/>
  <c r="B9" i="1"/>
  <c r="I8" i="1"/>
  <c r="H8" i="1"/>
  <c r="G8" i="1"/>
  <c r="E8" i="1"/>
  <c r="D8" i="1"/>
  <c r="C8" i="1"/>
  <c r="B8" i="1"/>
  <c r="I7" i="1"/>
  <c r="H7" i="1"/>
  <c r="G7" i="1"/>
  <c r="E7" i="1"/>
  <c r="D7" i="1"/>
  <c r="C7" i="1"/>
  <c r="B7" i="1"/>
  <c r="I6" i="1"/>
  <c r="H6" i="1"/>
  <c r="G6" i="1"/>
  <c r="E6" i="1"/>
  <c r="D6" i="1"/>
  <c r="C6" i="1"/>
  <c r="B6" i="1"/>
  <c r="I5" i="1"/>
  <c r="H5" i="1"/>
  <c r="G5" i="1"/>
  <c r="E5" i="1"/>
  <c r="D5" i="1"/>
  <c r="C5" i="1"/>
  <c r="B5" i="1"/>
  <c r="I4" i="1"/>
  <c r="H4" i="1"/>
  <c r="G4" i="1"/>
  <c r="E4" i="1"/>
  <c r="D4" i="1"/>
  <c r="C4" i="1"/>
  <c r="B4" i="1"/>
  <c r="I3" i="1"/>
  <c r="H3" i="1"/>
  <c r="G3" i="1"/>
  <c r="E3" i="1"/>
  <c r="D3" i="1"/>
  <c r="C3" i="1"/>
  <c r="B3" i="1"/>
  <c r="I2" i="1"/>
  <c r="H2" i="1"/>
  <c r="G2" i="1"/>
  <c r="E2" i="1"/>
  <c r="D2" i="1"/>
  <c r="C2" i="1"/>
  <c r="B2" i="1"/>
  <c r="B16" i="3" l="1"/>
  <c r="B15" i="3"/>
  <c r="B14" i="3"/>
  <c r="B13" i="3"/>
  <c r="B11" i="3"/>
  <c r="B9" i="3"/>
  <c r="B7" i="3"/>
  <c r="B5" i="3"/>
  <c r="B3" i="3"/>
  <c r="B12" i="3"/>
  <c r="B10" i="3"/>
  <c r="B8" i="3"/>
  <c r="B6" i="3"/>
  <c r="B4" i="3"/>
  <c r="B2" i="3"/>
  <c r="B17" i="3" l="1"/>
  <c r="C2" i="3" s="1"/>
  <c r="C4" i="3" l="1"/>
  <c r="C10" i="3"/>
  <c r="C5" i="3"/>
  <c r="C7" i="3"/>
  <c r="C14" i="3"/>
  <c r="C8" i="3"/>
  <c r="C16" i="3"/>
  <c r="C15" i="3"/>
  <c r="C13" i="3"/>
  <c r="C6" i="3"/>
  <c r="C12" i="3"/>
  <c r="C3" i="3"/>
  <c r="C9" i="3"/>
  <c r="C11" i="3"/>
</calcChain>
</file>

<file path=xl/sharedStrings.xml><?xml version="1.0" encoding="utf-8"?>
<sst xmlns="http://schemas.openxmlformats.org/spreadsheetml/2006/main" count="838" uniqueCount="338">
  <si>
    <t>NUIP</t>
  </si>
  <si>
    <t>Departamento</t>
  </si>
  <si>
    <t>Municipio</t>
  </si>
  <si>
    <t>Puesto</t>
  </si>
  <si>
    <t>Dirección</t>
  </si>
  <si>
    <t>Mesa</t>
  </si>
  <si>
    <t>Latitud</t>
  </si>
  <si>
    <t>Longitud</t>
  </si>
  <si>
    <t>Precisión ubicación</t>
  </si>
  <si>
    <t>Google Maps</t>
  </si>
  <si>
    <t>Estado</t>
  </si>
  <si>
    <t>ID puesto</t>
  </si>
  <si>
    <t>2986631</t>
  </si>
  <si>
    <t>Ver en mapa</t>
  </si>
  <si>
    <t>Confirmado</t>
  </si>
  <si>
    <t>P04</t>
  </si>
  <si>
    <t>1073693454</t>
  </si>
  <si>
    <t>P01</t>
  </si>
  <si>
    <t>1033723563</t>
  </si>
  <si>
    <t>P02</t>
  </si>
  <si>
    <t>11324571</t>
  </si>
  <si>
    <t>P09</t>
  </si>
  <si>
    <t>1109264322</t>
  </si>
  <si>
    <t>P05</t>
  </si>
  <si>
    <t>1005663908</t>
  </si>
  <si>
    <t>P16</t>
  </si>
  <si>
    <t>1073701267</t>
  </si>
  <si>
    <t>P07</t>
  </si>
  <si>
    <t>1016048445</t>
  </si>
  <si>
    <t>52026319</t>
  </si>
  <si>
    <t>P10</t>
  </si>
  <si>
    <t>1007144082</t>
  </si>
  <si>
    <t>P17</t>
  </si>
  <si>
    <t>1016101357</t>
  </si>
  <si>
    <t>P15</t>
  </si>
  <si>
    <t>53134432</t>
  </si>
  <si>
    <t>P08</t>
  </si>
  <si>
    <t>1000472492</t>
  </si>
  <si>
    <t>P11</t>
  </si>
  <si>
    <t>1014251052</t>
  </si>
  <si>
    <t>P12</t>
  </si>
  <si>
    <t>1012383845</t>
  </si>
  <si>
    <t>P13</t>
  </si>
  <si>
    <t>1023961353</t>
  </si>
  <si>
    <t>P03</t>
  </si>
  <si>
    <t>1012435510</t>
  </si>
  <si>
    <t>P06</t>
  </si>
  <si>
    <t>1033746591</t>
  </si>
  <si>
    <t>P14</t>
  </si>
  <si>
    <t>1073324433</t>
  </si>
  <si>
    <t>1116020515</t>
  </si>
  <si>
    <t>P18</t>
  </si>
  <si>
    <t>1012363398</t>
  </si>
  <si>
    <t>1007503635</t>
  </si>
  <si>
    <t>P19</t>
  </si>
  <si>
    <t>1022382733</t>
  </si>
  <si>
    <t>P20</t>
  </si>
  <si>
    <t>1000732786</t>
  </si>
  <si>
    <t>P21</t>
  </si>
  <si>
    <t>1012422621</t>
  </si>
  <si>
    <t>P23</t>
  </si>
  <si>
    <t>1028480010</t>
  </si>
  <si>
    <t>P24</t>
  </si>
  <si>
    <t>1022365207</t>
  </si>
  <si>
    <t>P25</t>
  </si>
  <si>
    <t>1023898524</t>
  </si>
  <si>
    <t>P22</t>
  </si>
  <si>
    <t>1022354665</t>
  </si>
  <si>
    <t>1016592310</t>
  </si>
  <si>
    <t>P26</t>
  </si>
  <si>
    <t>1022982891</t>
  </si>
  <si>
    <t>1073671224</t>
  </si>
  <si>
    <t>P27</t>
  </si>
  <si>
    <t>79847577</t>
  </si>
  <si>
    <t>P28</t>
  </si>
  <si>
    <t>1010034446</t>
  </si>
  <si>
    <t>1014662799</t>
  </si>
  <si>
    <t>1144174969</t>
  </si>
  <si>
    <t>P29</t>
  </si>
  <si>
    <t>79660155</t>
  </si>
  <si>
    <t>P30</t>
  </si>
  <si>
    <t>43438988</t>
  </si>
  <si>
    <t>P31</t>
  </si>
  <si>
    <t>14801742</t>
  </si>
  <si>
    <t>P32</t>
  </si>
  <si>
    <t>1073671180</t>
  </si>
  <si>
    <t>P33</t>
  </si>
  <si>
    <t>1026300319</t>
  </si>
  <si>
    <t>P34</t>
  </si>
  <si>
    <t>52748481</t>
  </si>
  <si>
    <t>1024473269</t>
  </si>
  <si>
    <t>P35</t>
  </si>
  <si>
    <t>1024490789</t>
  </si>
  <si>
    <t>1000491641</t>
  </si>
  <si>
    <t>P36</t>
  </si>
  <si>
    <t>1032474754</t>
  </si>
  <si>
    <t>P37</t>
  </si>
  <si>
    <t>1074186778</t>
  </si>
  <si>
    <t>P38</t>
  </si>
  <si>
    <t>75003551</t>
  </si>
  <si>
    <t>P39</t>
  </si>
  <si>
    <t>37670293</t>
  </si>
  <si>
    <t>P40</t>
  </si>
  <si>
    <t>1034398566</t>
  </si>
  <si>
    <t>P41</t>
  </si>
  <si>
    <t>1022926750</t>
  </si>
  <si>
    <t>1012453776</t>
  </si>
  <si>
    <t>P42</t>
  </si>
  <si>
    <t>1075670670</t>
  </si>
  <si>
    <t>P43</t>
  </si>
  <si>
    <t>1075650862</t>
  </si>
  <si>
    <t>P44</t>
  </si>
  <si>
    <t>1075870902</t>
  </si>
  <si>
    <t>P45</t>
  </si>
  <si>
    <t>1193146788</t>
  </si>
  <si>
    <t>P46</t>
  </si>
  <si>
    <t>53893906</t>
  </si>
  <si>
    <t>P47</t>
  </si>
  <si>
    <t>1012376468</t>
  </si>
  <si>
    <t>P48</t>
  </si>
  <si>
    <t>52236223</t>
  </si>
  <si>
    <t>P49</t>
  </si>
  <si>
    <t>86080270</t>
  </si>
  <si>
    <t>Precisión</t>
  </si>
  <si>
    <t>Nota de georreferenciación</t>
  </si>
  <si>
    <t>Personas</t>
  </si>
  <si>
    <t>Mesas distintas</t>
  </si>
  <si>
    <t>COLEGIO MINUTO DE DIOS CIUDAD VERDE</t>
  </si>
  <si>
    <t>CALLE 38 No 31 141 CIUDAD VERDE</t>
  </si>
  <si>
    <t>SOACHA</t>
  </si>
  <si>
    <t>CUNDINAMARCA</t>
  </si>
  <si>
    <t>Exacta</t>
  </si>
  <si>
    <t>Coincide nombre del puesto</t>
  </si>
  <si>
    <t>I.E. LICEO MAYOR DE SOACHA</t>
  </si>
  <si>
    <t>CLL. 38 No. 6 A - 55 ESTE</t>
  </si>
  <si>
    <t>I.E. LEON XIII - CHILOE</t>
  </si>
  <si>
    <t>DIAG. 28 No. 28 - 99 CIUDAD VERDE</t>
  </si>
  <si>
    <t>Ubicado como I.E. Chiloé, Ciudad Verde</t>
  </si>
  <si>
    <t>I.E. SOACHA AVANZA LA UNIDAD</t>
  </si>
  <si>
    <t>CRA 38 No 14 - 72</t>
  </si>
  <si>
    <t>Coincide dirección</t>
  </si>
  <si>
    <t>CENTRO COMERCIAL MERCURIO</t>
  </si>
  <si>
    <t>CRA 7 NRO 32 35</t>
  </si>
  <si>
    <t>CENTRO COMERCIAL VENTURA TERREROS</t>
  </si>
  <si>
    <t>CRA 1 NRO 38 89 SOACHA</t>
  </si>
  <si>
    <t>COLEGIO MILITAR LICEO SOCIAL COMPARTIR</t>
  </si>
  <si>
    <t>CLL 18 SUR NRO 9F 24 COMPARTIR</t>
  </si>
  <si>
    <t>Revisar</t>
  </si>
  <si>
    <t>Coincide nombre, pero la dirección en Maps difiere</t>
  </si>
  <si>
    <t>I.E. VIDA NUEVA</t>
  </si>
  <si>
    <t>CRA 19 A No 4 - 90 SUR</t>
  </si>
  <si>
    <t>Encontrado 'Colegio Vida Nueva' con otra dirección; confirmar</t>
  </si>
  <si>
    <t>COLEGIO AMERICANO</t>
  </si>
  <si>
    <t>CALLE 21 No. 10-40</t>
  </si>
  <si>
    <t>GIRARDOT</t>
  </si>
  <si>
    <t>NUEVO COLISEO MUNICIPAL</t>
  </si>
  <si>
    <t>CLL 1 No 2-00</t>
  </si>
  <si>
    <t>MOSQUERA</t>
  </si>
  <si>
    <t>GRAN PLAZA EL ENSUEÑO</t>
  </si>
  <si>
    <t>CRA 51 #59 C-93 SUR /CLL 59 SUR #51-21</t>
  </si>
  <si>
    <t>BOGOTA D.C.</t>
  </si>
  <si>
    <t>LA FLORIDA</t>
  </si>
  <si>
    <t>CRA 89 # 68A-36 CRA 89 # 68A-32</t>
  </si>
  <si>
    <t>LA ESTACION</t>
  </si>
  <si>
    <t>CRA 78 ENTRE CLL 60A SUR Y CLL 63 SUR</t>
  </si>
  <si>
    <t>Aproximada</t>
  </si>
  <si>
    <t>Punto de referencia a pocas cuadras (Bosa La Estación)</t>
  </si>
  <si>
    <t>SAN CARLOS</t>
  </si>
  <si>
    <t>CRA 19 No 50 A - 37 SUR</t>
  </si>
  <si>
    <t>ZONA FRANCA</t>
  </si>
  <si>
    <t>CLL 14 A # 108 - 78</t>
  </si>
  <si>
    <t>Referencia: Zona Franca de Bogotá (Av. Calle 13 #108-85)</t>
  </si>
  <si>
    <t>IE SAN JOSE</t>
  </si>
  <si>
    <t>CLL 48 No 30-56 EL EDEN</t>
  </si>
  <si>
    <t>SINCELEJO</t>
  </si>
  <si>
    <t>SUCRE</t>
  </si>
  <si>
    <t>IE JESUS MARIA ORMAZA</t>
  </si>
  <si>
    <t>CRA 22 BIS # 75 00</t>
  </si>
  <si>
    <t>PEREIRA</t>
  </si>
  <si>
    <t>RISARALDA</t>
  </si>
  <si>
    <t>PUESTO CABECERA MUNICIPAL</t>
  </si>
  <si>
    <t>CRA 3A No 1B - 12</t>
  </si>
  <si>
    <t>LA SALINA</t>
  </si>
  <si>
    <t>CASANARE</t>
  </si>
  <si>
    <t>Referencia: Plaza Principal de La Salina</t>
  </si>
  <si>
    <t>Barcelona - Consulado</t>
  </si>
  <si>
    <t>Seminari Conciliar de Barcelona</t>
  </si>
  <si>
    <t>ESPAÑA</t>
  </si>
  <si>
    <t>CONSULADOS</t>
  </si>
  <si>
    <t>Coincide nombre del puesto (exterior)</t>
  </si>
  <si>
    <t>LAURA HERRERA</t>
  </si>
  <si>
    <t>Carrera 89 B No. 54 F 20 Sur- Bosa Brasil</t>
  </si>
  <si>
    <t>Colegio Laura Herrera de Varela, coincide dirección</t>
  </si>
  <si>
    <t>I.E. SAN MATEO SEDE A</t>
  </si>
  <si>
    <t>CR. 5 B ESTE No. 26 - 04</t>
  </si>
  <si>
    <t>I.E. SAN MATEO SEDE B</t>
  </si>
  <si>
    <t>Misma dirección que Sede A; comparten punto en el mapa</t>
  </si>
  <si>
    <t>COLISEO LEON XIII</t>
  </si>
  <si>
    <t>CLL 48 No 9-05 LEON XIII</t>
  </si>
  <si>
    <t>MEDICINA LEGAL</t>
  </si>
  <si>
    <t>KR12 A # 7 - 07</t>
  </si>
  <si>
    <t>Sede central Medicina Legal (Cl 7A #12A-51), misma manzana</t>
  </si>
  <si>
    <t>EL PORTAL</t>
  </si>
  <si>
    <t>CRA 3B. No. 30A - 42 SUR</t>
  </si>
  <si>
    <t>Coincide dirección (20 de Julio)</t>
  </si>
  <si>
    <t>MODELIA REAL</t>
  </si>
  <si>
    <t>CLL 24 D # 82-13 o CRA 82 # 24C- 29</t>
  </si>
  <si>
    <t>COLISEO GENERAL SANTANDER</t>
  </si>
  <si>
    <t>CLL. 15 NO. 8 - 53</t>
  </si>
  <si>
    <t>IE GENERAL SANTANDER SD MI TIERNA EDAD</t>
  </si>
  <si>
    <t>CLL. 14 NO. 8 - 25 CENTRO</t>
  </si>
  <si>
    <t>ESCUELA RAUL SILVA HOLGUIN</t>
  </si>
  <si>
    <t>DG 26K #T83-24</t>
  </si>
  <si>
    <t>CALI</t>
  </si>
  <si>
    <t>VALLE</t>
  </si>
  <si>
    <t>Coincide dirección (hoy I.E. Monseñor Ramón Arcila Sede E)</t>
  </si>
  <si>
    <t>IED GRAL SANTANDER SEDE BTO</t>
  </si>
  <si>
    <t>CARRERA 7 No. 11 -30</t>
  </si>
  <si>
    <t>SIBATE</t>
  </si>
  <si>
    <t>Colegio departamental Cl 11 #7-42, esquina vecina</t>
  </si>
  <si>
    <t>I.E. FRANCISCO MIRANDA</t>
  </si>
  <si>
    <t>KR 51C # 79-56</t>
  </si>
  <si>
    <t>MEDELLIN</t>
  </si>
  <si>
    <t>ANTIOQUIA</t>
  </si>
  <si>
    <t>I.E. FRANCISCO JOSE DE CALDAS</t>
  </si>
  <si>
    <t>CLLE 8N NUM 16-76 LLERAS</t>
  </si>
  <si>
    <t>YUMBO</t>
  </si>
  <si>
    <t>Coincide nombre; dirección en Maps no confirma el número</t>
  </si>
  <si>
    <t>I.E. CIUDAD LATINA</t>
  </si>
  <si>
    <t>CLL. 37 A SUR No. 15 i - 21</t>
  </si>
  <si>
    <t>Referencia: conjunto Ciudad Latina, a pocas cuadras</t>
  </si>
  <si>
    <t>COLEGIO COLSUBSIDIO CHICALA</t>
  </si>
  <si>
    <t>CRA 87 No 53C-26 SUR</t>
  </si>
  <si>
    <t>IE LUIS C. GALAN-SD VILLAS DE CASALOMA</t>
  </si>
  <si>
    <t>CLL 59 B No 15 - 60 E</t>
  </si>
  <si>
    <t>Madrid - Consulado</t>
  </si>
  <si>
    <t>(sin dirección en la consulta)</t>
  </si>
  <si>
    <t>Punto del mapa de la Registraduría (C. de Alcalá, metro Sevilla); no es la oficina del consulado</t>
  </si>
  <si>
    <t>I. E. EUGENIO DIAZ CASTRO SEDE PRIMARIA</t>
  </si>
  <si>
    <t>VEREDA EL CHARQUITO</t>
  </si>
  <si>
    <t>Colegio de El Charquito (Cra 7C #2-11); confirmar que es la sede primaria</t>
  </si>
  <si>
    <t>MEGA COLEGIO</t>
  </si>
  <si>
    <t>CALLE 13A ENTRE CRA 6 Y 8 BARRIO SAN CARLOS</t>
  </si>
  <si>
    <t>EL ROSAL</t>
  </si>
  <si>
    <t>Referencia: Liceo El Rosal, cerca del barrio San Carlos</t>
  </si>
  <si>
    <t>LA PRADERA</t>
  </si>
  <si>
    <t>CLL 4 B # 65 - 31</t>
  </si>
  <si>
    <t>IE. NUEVO COMPARTIR</t>
  </si>
  <si>
    <t>CRA 14 No 29 - 80 SUR COMPARTIR</t>
  </si>
  <si>
    <t>Referencia: Colegio New Share (Cra 14A #31-46 Sur), a dos cuadras</t>
  </si>
  <si>
    <t>SALON COMUNAL MARSELLA</t>
  </si>
  <si>
    <t>CRA 69 No 8-28</t>
  </si>
  <si>
    <t>Coincide nombre y dirección</t>
  </si>
  <si>
    <t>BOSA SAN JOSE</t>
  </si>
  <si>
    <t>CRA 89BIS #85A-20SUR CRA 80K #85A-33SUR</t>
  </si>
  <si>
    <t>IED Carlos Albán Holguín Sede C San José (Cra 80K)</t>
  </si>
  <si>
    <t>SEDE EDU SIMON BOLIVAR</t>
  </si>
  <si>
    <t>CARRERA 14 No 18-38</t>
  </si>
  <si>
    <t>ZIPAQUIRA</t>
  </si>
  <si>
    <t>IEM CUNDINAMARCA</t>
  </si>
  <si>
    <t>CL 7 N 1A-36 BR. LA CONCEPCION</t>
  </si>
  <si>
    <t>C ACONDICIONAMIENTO Y PRE FISICA CAPF II</t>
  </si>
  <si>
    <t>TRASVERSAL 6 No 1-29</t>
  </si>
  <si>
    <t>SOPO</t>
  </si>
  <si>
    <t>Coincide nombre (CAPF); dirección en Maps distinta</t>
  </si>
  <si>
    <t>CENTRO DEPORTIVO PARQUE DE LOS LOCOS</t>
  </si>
  <si>
    <t>CRA 9 CLL 15</t>
  </si>
  <si>
    <t>Coincide nombre del lugar</t>
  </si>
  <si>
    <t>I.E. LEON XIII</t>
  </si>
  <si>
    <t>CR. 8 NO. 5 - 83 LEON XIII</t>
  </si>
  <si>
    <t>I.E. SOL NACIENTE</t>
  </si>
  <si>
    <t>CLL 15 A No. 1B - 12</t>
  </si>
  <si>
    <t>Punto en Cl 15A #1-22, misma cuadra</t>
  </si>
  <si>
    <t>BENJAMIN HERRERA</t>
  </si>
  <si>
    <t>CRA 28 # 63 - 64</t>
  </si>
  <si>
    <t>Referencia: SENA 7 de Agosto (Cra 28A #63C), a una cuadra</t>
  </si>
  <si>
    <t>Total</t>
  </si>
  <si>
    <t>Mesas distintas: conteo calculado a partir de las mesas leídas de los pantallazos.</t>
  </si>
  <si>
    <t>% del total</t>
  </si>
  <si>
    <t>Puestos</t>
  </si>
  <si>
    <t>I.E. JULIO CESAR TURBAY AYALA</t>
  </si>
  <si>
    <t>TV 9 ESTE No.45A- 80</t>
  </si>
  <si>
    <t>P56</t>
  </si>
  <si>
    <t>I.E. EL BOSQUE</t>
  </si>
  <si>
    <t>CLL. 32 CON CR 15 ESTE</t>
  </si>
  <si>
    <t>P57</t>
  </si>
  <si>
    <t>BOLIVIA</t>
  </si>
  <si>
    <t>CRA 103 D No 85 A 72</t>
  </si>
  <si>
    <t>P58</t>
  </si>
  <si>
    <t>GALICIA</t>
  </si>
  <si>
    <t>CLL 60 A SUR # 73-31</t>
  </si>
  <si>
    <t>P59</t>
  </si>
  <si>
    <t>ALCALA</t>
  </si>
  <si>
    <t>CRA 51 C # 33- 41 SUR</t>
  </si>
  <si>
    <t>P60</t>
  </si>
  <si>
    <t>CLL 19 C # 33-30</t>
  </si>
  <si>
    <t>P61</t>
  </si>
  <si>
    <t>LUCERO DEL SUR</t>
  </si>
  <si>
    <t>CRA 17 B BIS A # 67-30 SUR o 67-48 SUR</t>
  </si>
  <si>
    <t>P62</t>
  </si>
  <si>
    <t>BOYACA</t>
  </si>
  <si>
    <t>TUNJA</t>
  </si>
  <si>
    <t>UNIVERSIDAD JUAN DE CASTELLANOS</t>
  </si>
  <si>
    <t>CRA 11 # 11 - 44</t>
  </si>
  <si>
    <t>P51</t>
  </si>
  <si>
    <t>NARIÑO</t>
  </si>
  <si>
    <t>PASTO</t>
  </si>
  <si>
    <t>LIC DE LA MERCED-BACHILLERATO</t>
  </si>
  <si>
    <t>CL 18 # 34-104</t>
  </si>
  <si>
    <t>P52</t>
  </si>
  <si>
    <t>SANTANDER</t>
  </si>
  <si>
    <t>GIRON</t>
  </si>
  <si>
    <t>COL SAN JUAN DE GIRON</t>
  </si>
  <si>
    <t>CR 25 NO 31-08 CENTRO</t>
  </si>
  <si>
    <t>P53</t>
  </si>
  <si>
    <t>ARAUCA</t>
  </si>
  <si>
    <t>CONCENTRACION CAMILO TORRES</t>
  </si>
  <si>
    <t>CRA 8 No 24-15 BARRIO LA UNION</t>
  </si>
  <si>
    <t>P54</t>
  </si>
  <si>
    <t>ESCUELA FLOR DE MI LLANO</t>
  </si>
  <si>
    <t>CRA 9 No 4 -65 SUR</t>
  </si>
  <si>
    <t>P55</t>
  </si>
  <si>
    <t>BUCARAMANGA</t>
  </si>
  <si>
    <t>COL SAN PEDRO CLAVER</t>
  </si>
  <si>
    <t>CR 28 # 47 - 06 BARRIO SOTOMAYOR</t>
  </si>
  <si>
    <t>P63</t>
  </si>
  <si>
    <t>DUITAMA</t>
  </si>
  <si>
    <t>COL SANTO T DE AQUINO SD PRIA</t>
  </si>
  <si>
    <t>KR 14 #12-07</t>
  </si>
  <si>
    <t>P64</t>
  </si>
  <si>
    <t>ATLANTICO</t>
  </si>
  <si>
    <t>JUAN DE ACOSTA</t>
  </si>
  <si>
    <t>CENTRO DE EVENTOS</t>
  </si>
  <si>
    <t>CRA 3 No 8-16</t>
  </si>
  <si>
    <t>P65</t>
  </si>
  <si>
    <t>COLEGIO ALQUERIA</t>
  </si>
  <si>
    <t>CLL 37 B SUR # 68 D - 93</t>
  </si>
  <si>
    <t>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</si>
</sst>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2E59"/>
        <bgColor rgb="FF333333"/>
      </patternFill>
    </fill>
    <fill>
      <patternFill patternType="solid">
        <fgColor rgb="FFDFF2E3"/>
        <bgColor rgb="FFCCFFFF"/>
      </patternFill>
    </fill>
    <fill>
      <patternFill patternType="solid">
        <fgColor rgb="FFFBDAD2"/>
        <bgColor rgb="FFFFF1CC"/>
      </patternFill>
    </fill>
    <fill>
      <patternFill patternType="solid">
        <fgColor rgb="FFFFF1CC"/>
        <bgColor rgb="FFFBDAD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3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5" fillId="0" borderId="0" xfId="0" applyFont="1"/>
    <xf numFmtId="0" fontId="2" fillId="0" borderId="1" xfId="0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C"/>
      <rgbColor rgb="FFCCFFFF"/>
      <rgbColor rgb="FF660066"/>
      <rgbColor rgb="FFFF8080"/>
      <rgbColor rgb="FF1155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2E3"/>
      <rgbColor rgb="FFFFFF99"/>
      <rgbColor rgb="FF99CCFF"/>
      <rgbColor rgb="FFFF99CC"/>
      <rgbColor rgb="FFCC99FF"/>
      <rgbColor rgb="FFFBDAD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E5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GRAN%20PLAZA%20EL%20ENSUE&#209;O%2C%20CRA%2051%20%2359%20C-93%20SUR%20/CLL%2059%20SUR%20%2351-21%2C%20BOGOTA%20D.C.&amp;query_place_id=ChIJzf6CvuKfP44Rpe0WEGYkq50" TargetMode="External"/><Relationship Id="rId18" Type="http://schemas.openxmlformats.org/officeDocument/2006/relationships/hyperlink" Target="https://www.google.com/maps/search/?api=1&amp;query=SAN%20CARLOS%2C%20CRA%2019%20No%2050%20A%20-%2037%20SUR%2C%20BOGOTA%20D.C.&amp;query_place_id=ChIJGUUkvjWfP44RNV3njR1kRTA" TargetMode="External"/><Relationship Id="rId26" Type="http://schemas.openxmlformats.org/officeDocument/2006/relationships/hyperlink" Target="https://www.google.com/maps/search/?api=1&amp;query=MEDICINA%20LEGAL%2C%20KR12%20A%20%23%207%20-%2007%2C%20BOGOTA%20D.C.&amp;query_place_id=ChIJM2CMtAiZP44R7o98r5iAQ68" TargetMode="External"/><Relationship Id="rId39" Type="http://schemas.openxmlformats.org/officeDocument/2006/relationships/hyperlink" Target="https://www.google.com/maps/search/?api=1&amp;query=I.E.%20FRANCISCO%20JOSE%20DE%20CALDAS%2C%20CLLE%208N%20NUM%2016-76%20LLERAS%2C%20YUMBO&amp;query_place_id=ChIJMc6xoPOrMI4RAyXn5t5PR7g" TargetMode="External"/><Relationship Id="rId21" Type="http://schemas.openxmlformats.org/officeDocument/2006/relationships/hyperlink" Target="https://www.google.com/maps/search/?api=1&amp;query=I.E.%20LICEO%20MAYOR%20DE%20SOACHA%2C%20CLL.%2038%20No.%206%20A%20-%2055%20ESTE%2C%20SOACHA&amp;query_place_id=ChIJg2hD0cmfP44RL1X3qYNA0xo" TargetMode="External"/><Relationship Id="rId34" Type="http://schemas.openxmlformats.org/officeDocument/2006/relationships/hyperlink" Target="https://www.google.com/maps/search/?api=1&amp;query=I.E.%20LEON%20XIII%20-%20CHILOE%2C%20DIAG.%2028%20No.%2028%20-%2099%20CIUDAD%20VERDE%2C%20SOACHA&amp;query_place_id=ChIJYQ18xiaeP44RdUP0hYfbnPQ" TargetMode="External"/><Relationship Id="rId42" Type="http://schemas.openxmlformats.org/officeDocument/2006/relationships/hyperlink" Target="https://www.google.com/maps/search/?api=1&amp;query=CENTRO%20COMERCIAL%20MERCURIO%2C%20CRA%207%20NRO%2032%2035%2C%20SOACHA&amp;query_place_id=ChIJeTSMe82fP44RYImVSyjxGSQ" TargetMode="External"/><Relationship Id="rId47" Type="http://schemas.openxmlformats.org/officeDocument/2006/relationships/hyperlink" Target="https://www.google.com/maps/search/?api=1&amp;query=4.8546287%2C-74.2608704" TargetMode="External"/><Relationship Id="rId50" Type="http://schemas.openxmlformats.org/officeDocument/2006/relationships/hyperlink" Target="https://www.google.com/maps/search/?api=1&amp;query=SALON%20COMUNAL%20MARSELLA%2C%20CRA%2069%20No%208-28%2C%20BOGOTA%20D.C.&amp;query_place_id=ChIJy1stKQGcP44Rg33fdlm4jyU" TargetMode="External"/><Relationship Id="rId55" Type="http://schemas.openxmlformats.org/officeDocument/2006/relationships/hyperlink" Target="https://www.google.com/maps/search/?api=1&amp;query=C%20ACONDICIONAMIENTO%20Y%20PRE%20FISICA%20CAPF%20II%2C%20TRASVERSAL%206%20No%201-29%2C%20SOPO&amp;query_place_id=ChIJwx6L64Z2QI4RZLIewlD2j6U" TargetMode="External"/><Relationship Id="rId7" Type="http://schemas.openxmlformats.org/officeDocument/2006/relationships/hyperlink" Target="https://www.google.com/maps/search/?api=1&amp;query=COLEGIO%20MILITAR%20LICEO%20SOCIAL%20COMPARTIR%2C%20CLL%2018%20SUR%20NRO%209F%2024%20COMPARTIR%2C%20SOACHA&amp;query_place_id=ChIJlw5cFEF1P44RohdyP7HtW7s" TargetMode="External"/><Relationship Id="rId2" Type="http://schemas.openxmlformats.org/officeDocument/2006/relationships/hyperlink" Target="https://www.google.com/maps/search/?api=1&amp;query=COLEGIO%20MINUTO%20DE%20DIOS%20CIUDAD%20VERDE%2C%20CALLE%2038%20No%2031%20141%20CIUDAD%20VERDE%2C%20SOACHA&amp;query_place_id=ChIJWZy_aSGeP44Rqmh5VIxCE3k" TargetMode="External"/><Relationship Id="rId16" Type="http://schemas.openxmlformats.org/officeDocument/2006/relationships/hyperlink" Target="https://www.google.com/maps/search/?api=1&amp;query=I.E.%20LEON%20XIII%20-%20CHILOE%2C%20DIAG.%2028%20No.%2028%20-%2099%20CIUDAD%20VERDE%2C%20SOACHA&amp;query_place_id=ChIJYQ18xiaeP44RdUP0hYfbnPQ" TargetMode="External"/><Relationship Id="rId29" Type="http://schemas.openxmlformats.org/officeDocument/2006/relationships/hyperlink" Target="https://www.google.com/maps/search/?api=1&amp;query=CENTRO%20COMERCIAL%20VENTURA%20TERREROS%2C%20CRA%201%20NRO%2038%2089%20SOACHA%2C%20SOACHA&amp;query_place_id=ChIJPcfJ_6qfP44Rurz0vVU6jnw" TargetMode="External"/><Relationship Id="rId11" Type="http://schemas.openxmlformats.org/officeDocument/2006/relationships/hyperlink" Target="https://www.google.com/maps/search/?api=1&amp;query=ZONA%20FRANCA%2C%20CLL%2014%20A%20%23%20108%20-%2078%2C%20BOGOTA%20D.C.&amp;query_place_id=ChIJNyiehfGcP44RwPcZNg-jjE0" TargetMode="External"/><Relationship Id="rId24" Type="http://schemas.openxmlformats.org/officeDocument/2006/relationships/hyperlink" Target="https://www.google.com/maps/search/?api=1&amp;query=I.E.%20SAN%20MATEO%20SEDE%20A%2C%20CR.%205%20B%20ESTE%20No.%2026%20-%2004%2C%20SOACHA&amp;query_place_id=ChIJq6nXbsWfP44RhP8QTB7qIdc" TargetMode="External"/><Relationship Id="rId32" Type="http://schemas.openxmlformats.org/officeDocument/2006/relationships/hyperlink" Target="https://www.google.com/maps/search/?api=1&amp;query=COLISEO%20GENERAL%20SANTANDER%2C%20CLL.%2015%20NO.%208%20-%2053%2C%20SOACHA&amp;query_place_id=ChIJsaviINafP44RxEf5zWYnOQs" TargetMode="External"/><Relationship Id="rId37" Type="http://schemas.openxmlformats.org/officeDocument/2006/relationships/hyperlink" Target="https://www.google.com/maps/search/?api=1&amp;query=4.4933690%2C-74.2579751" TargetMode="External"/><Relationship Id="rId40" Type="http://schemas.openxmlformats.org/officeDocument/2006/relationships/hyperlink" Target="https://www.google.com/maps/search/?api=1&amp;query=4.5756571%2C-74.2456952" TargetMode="External"/><Relationship Id="rId45" Type="http://schemas.openxmlformats.org/officeDocument/2006/relationships/hyperlink" Target="https://www.google.com/maps/search/?api=1&amp;query=40.4177500%2C-3.6996600" TargetMode="External"/><Relationship Id="rId53" Type="http://schemas.openxmlformats.org/officeDocument/2006/relationships/hyperlink" Target="https://www.google.com/maps/search/?api=1&amp;query=SEDE%20EDU%20SIMON%20BOLIVAR%2C%20CARRERA%2014%20No%2018-38%2C%20ZIPAQUIRA&amp;query_place_id=ChIJsdSUitpvQI4RycCcPGqIsag" TargetMode="External"/><Relationship Id="rId58" Type="http://schemas.openxmlformats.org/officeDocument/2006/relationships/hyperlink" Target="https://www.google.com/maps/search/?api=1&amp;query=4.5770728%2C-74.2139061" TargetMode="External"/><Relationship Id="rId5" Type="http://schemas.openxmlformats.org/officeDocument/2006/relationships/hyperlink" Target="https://www.google.com/maps/search/?api=1&amp;query=CENTRO%20COMERCIAL%20MERCURIO%2C%20CRA%207%20NRO%2032%2035%2C%20SOACHA&amp;query_place_id=ChIJeTSMe82fP44RYImVSyjxGSQ" TargetMode="External"/><Relationship Id="rId19" Type="http://schemas.openxmlformats.org/officeDocument/2006/relationships/hyperlink" Target="https://www.google.com/maps/search/?api=1&amp;query=COLEGIO%20MINUTO%20DE%20DIOS%20CIUDAD%20VERDE%2C%20CALLE%2038%20No%2031%20141%20CIUDAD%20VERDE%2C%20SOACHA&amp;query_place_id=ChIJWZy_aSGeP44Rqmh5VIxCE3k" TargetMode="External"/><Relationship Id="rId4" Type="http://schemas.openxmlformats.org/officeDocument/2006/relationships/hyperlink" Target="https://www.google.com/maps/search/?api=1&amp;query=COLEGIO%20AMERICANO%2C%20CALLE%2021%20No.%2010-40%2C%20GIRARDOT&amp;query_place_id=ChIJhXs9quwoP44RphzSrqsSpHE" TargetMode="External"/><Relationship Id="rId9" Type="http://schemas.openxmlformats.org/officeDocument/2006/relationships/hyperlink" Target="https://www.google.com/maps/search/?api=1&amp;query=NUEVO%20COLISEO%20MUNICIPAL%2C%20CLL%201%20No%202-00%2C%20MOSQUERA&amp;query_place_id=ChIJy4QgrGh3P44RxceyQ4iWoi0" TargetMode="External"/><Relationship Id="rId14" Type="http://schemas.openxmlformats.org/officeDocument/2006/relationships/hyperlink" Target="https://www.google.com/maps/search/?api=1&amp;query=LA%20FLORIDA%2C%20CRA%2089%20%23%2068A-36%20CRA%2089%20%23%2068A-32%2C%20BOGOTA%20D.C.&amp;query_place_id=ChIJp_xll0SbP44RUwnw3Y3BoiM" TargetMode="External"/><Relationship Id="rId22" Type="http://schemas.openxmlformats.org/officeDocument/2006/relationships/hyperlink" Target="https://www.google.com/maps/search/?api=1&amp;query=Barcelona%20-%20Consulado%2C%20Seminari%20Conciliar%20de%20Barcelona%2C%20ESPA&#209;A&amp;query_place_id=ChIJT2AOp6SipBIRrG3QZ7BmZYI" TargetMode="External"/><Relationship Id="rId27" Type="http://schemas.openxmlformats.org/officeDocument/2006/relationships/hyperlink" Target="https://www.google.com/maps/search/?api=1&amp;query=EL%20PORTAL%2C%20CRA%203B.%20No.%2030A%20-%2042%20SUR%2C%20BOGOTA%20D.C.&amp;query_place_id=ChIJAQqInpSYP44RO_0WPjbvfKY" TargetMode="External"/><Relationship Id="rId30" Type="http://schemas.openxmlformats.org/officeDocument/2006/relationships/hyperlink" Target="https://www.google.com/maps/search/?api=1&amp;query=MODELIA%20REAL%2C%20CLL%2024%20D%20%23%2082-13%20o%20CRA%2082%20%23%2024C-%2029%2C%20BOGOTA%20D.C.&amp;query_place_id=ChIJ17WFV36bP44RpXOPT8Gn7xU" TargetMode="External"/><Relationship Id="rId35" Type="http://schemas.openxmlformats.org/officeDocument/2006/relationships/hyperlink" Target="https://www.google.com/maps/search/?api=1&amp;query=MEDICINA%20LEGAL%2C%20KR12%20A%20%23%207%20-%2007%2C%20BOGOTA%20D.C.&amp;query_place_id=ChIJM2CMtAiZP44R7o98r5iAQ68" TargetMode="External"/><Relationship Id="rId43" Type="http://schemas.openxmlformats.org/officeDocument/2006/relationships/hyperlink" Target="https://www.google.com/maps/search/?api=1&amp;query=IE%20LUIS%20C.%20GALAN-SD%20VILLAS%20DE%20CASALOMA%2C%20CLL%2059%20B%20No%2015%20-%2060%20E%2C%20SOACHA&amp;query_place_id=ChIJFRPRGSCfP44RT5E6ZukvMfg" TargetMode="External"/><Relationship Id="rId48" Type="http://schemas.openxmlformats.org/officeDocument/2006/relationships/hyperlink" Target="https://www.google.com/maps/search/?api=1&amp;query=LA%20PRADERA%2C%20CLL%204%20B%20%23%2065%20-%2031%2C%20BOGOTA%20D.C.&amp;query_place_id=ChIJCQ6Tk1SZP44RwPm2pPpZN4k" TargetMode="External"/><Relationship Id="rId56" Type="http://schemas.openxmlformats.org/officeDocument/2006/relationships/hyperlink" Target="https://www.google.com/maps/search/?api=1&amp;query=CENTRO%20DEPORTIVO%20PARQUE%20DE%20LOS%20LOCOS%2C%20CRA%209%20CLL%2015%2C%20SOACHA&amp;query_place_id=ChIJocdlD9afP44R_p_2vQs5V7g" TargetMode="External"/><Relationship Id="rId8" Type="http://schemas.openxmlformats.org/officeDocument/2006/relationships/hyperlink" Target="https://www.google.com/maps/search/?api=1&amp;query=COLEGIO%20MINUTO%20DE%20DIOS%20CIUDAD%20VERDE%2C%20CALLE%2038%20No%2031%20141%20CIUDAD%20VERDE%2C%20SOACHA&amp;query_place_id=ChIJWZy_aSGeP44Rqmh5VIxCE3k" TargetMode="External"/><Relationship Id="rId51" Type="http://schemas.openxmlformats.org/officeDocument/2006/relationships/hyperlink" Target="https://www.google.com/maps/search/?api=1&amp;query=COLEGIO%20COLSUBSIDIO%20CHICALA%2C%20CRA%2087%20No%2053C-26%20SUR%2C%20BOGOTA%20D.C.&amp;query_place_id=ChIJue7Lj3meP44RWWJEK5ELmRA" TargetMode="External"/><Relationship Id="rId3" Type="http://schemas.openxmlformats.org/officeDocument/2006/relationships/hyperlink" Target="https://www.google.com/maps/search/?api=1&amp;query=I.E.%20LICEO%20MAYOR%20DE%20SOACHA%2C%20CLL.%2038%20No.%206%20A%20-%2055%20ESTE%2C%20SOACHA&amp;query_place_id=ChIJg2hD0cmfP44RL1X3qYNA0xo" TargetMode="External"/><Relationship Id="rId12" Type="http://schemas.openxmlformats.org/officeDocument/2006/relationships/hyperlink" Target="https://www.google.com/maps/search/?api=1&amp;query=I.E.%20VIDA%20NUEVA%2C%20CRA%2019%20A%20No%204%20-%2090%20SUR%2C%20SOACHA&amp;query_place_id=ChIJMZ7GtIJ1P44RbnaACQ4TL5I" TargetMode="External"/><Relationship Id="rId17" Type="http://schemas.openxmlformats.org/officeDocument/2006/relationships/hyperlink" Target="https://www.google.com/maps/search/?api=1&amp;query=CENTRO%20COMERCIAL%20VENTURA%20TERREROS%2C%20CRA%201%20NRO%2038%2089%20SOACHA%2C%20SOACHA&amp;query_place_id=ChIJPcfJ_6qfP44Rurz0vVU6jnw" TargetMode="External"/><Relationship Id="rId25" Type="http://schemas.openxmlformats.org/officeDocument/2006/relationships/hyperlink" Target="https://www.google.com/maps/search/?api=1&amp;query=COLISEO%20LEON%20XIII%2C%20CLL%2048%20No%209-05%20LEON%20XIII%2C%20SOACHA&amp;query_place_id=ChIJEQcIY62fP44RKOyBQDolU7o" TargetMode="External"/><Relationship Id="rId33" Type="http://schemas.openxmlformats.org/officeDocument/2006/relationships/hyperlink" Target="https://www.google.com/maps/search/?api=1&amp;query=IE%20GENERAL%20SANTANDER%20SD%20MI%20TIERNA%20EDAD%2C%20CLL.%2014%20NO.%208%20-%2025%20CENTRO%2C%20SOACHA&amp;query_place_id=ChIJA6rcLm91P44Rkwcl2dHotMo" TargetMode="External"/><Relationship Id="rId38" Type="http://schemas.openxmlformats.org/officeDocument/2006/relationships/hyperlink" Target="https://www.google.com/maps/search/?api=1&amp;query=I.E.%20FRANCISCO%20MIRANDA%2C%20KR%2051C%20%23%2079-56%2C%20MEDELLIN&amp;query_place_id=ChIJ48yToNwoRI4RvlNgTRbLjxM" TargetMode="External"/><Relationship Id="rId46" Type="http://schemas.openxmlformats.org/officeDocument/2006/relationships/hyperlink" Target="https://www.google.com/maps/search/?api=1&amp;query=4.5439600%2C-74.2753900" TargetMode="External"/><Relationship Id="rId59" Type="http://schemas.openxmlformats.org/officeDocument/2006/relationships/hyperlink" Target="https://www.google.com/maps/search/?api=1&amp;query=4.6550314%2C-74.0764674" TargetMode="External"/><Relationship Id="rId20" Type="http://schemas.openxmlformats.org/officeDocument/2006/relationships/hyperlink" Target="https://www.google.com/maps/search/?api=1&amp;query=6.1276899%2C-72.3351729" TargetMode="External"/><Relationship Id="rId41" Type="http://schemas.openxmlformats.org/officeDocument/2006/relationships/hyperlink" Target="https://www.google.com/maps/search/?api=1&amp;query=COLEGIO%20COLSUBSIDIO%20CHICALA%2C%20CRA%2087%20No%2053C-26%20SUR%2C%20BOGOTA%20D.C.&amp;query_place_id=ChIJue7Lj3meP44RWWJEK5ELmRA" TargetMode="External"/><Relationship Id="rId54" Type="http://schemas.openxmlformats.org/officeDocument/2006/relationships/hyperlink" Target="https://www.google.com/maps/search/?api=1&amp;query=IEM%20CUNDINAMARCA%2C%20CL%207%20N%201A-36%20BR.%20LA%20CONCEPCION%2C%20ZIPAQUIRA&amp;query_place_id=ChIJ3W4_YOBvQI4RwFQZiNdzygM" TargetMode="External"/><Relationship Id="rId1" Type="http://schemas.openxmlformats.org/officeDocument/2006/relationships/hyperlink" Target="https://www.google.com/maps/search/?api=1&amp;query=I.E.%20SOACHA%20AVANZA%20LA%20UNIDAD%2C%20CRA%2038%20No%2014%20-%2072%2C%20SOACHA&amp;query_place_id=ChIJySCrQ-91P44RTjigoQnGYCQ" TargetMode="External"/><Relationship Id="rId6" Type="http://schemas.openxmlformats.org/officeDocument/2006/relationships/hyperlink" Target="https://www.google.com/maps/search/?api=1&amp;query=IE%20SAN%20JOSE%2C%20CLL%2048%20No%2030-56%20EL%20EDEN%2C%20SINCELEJO&amp;query_place_id=ChIJRbtHXKUVWY4R2IJYob3YEsM" TargetMode="External"/><Relationship Id="rId15" Type="http://schemas.openxmlformats.org/officeDocument/2006/relationships/hyperlink" Target="https://www.google.com/maps/search/?api=1&amp;query=4.5971912%2C-74.1803664" TargetMode="External"/><Relationship Id="rId23" Type="http://schemas.openxmlformats.org/officeDocument/2006/relationships/hyperlink" Target="https://www.google.com/maps/search/?api=1&amp;query=LAURA%20HERRERA%2C%20Carrera%2089%20B%20No.%2054%20F%2020%20Sur-%20Bosa%20Brasil%2C%20BOGOTA%20D.C.&amp;query_place_id=ChIJkUSjgkmdP44Re9nOszjvHjk" TargetMode="External"/><Relationship Id="rId28" Type="http://schemas.openxmlformats.org/officeDocument/2006/relationships/hyperlink" Target="https://www.google.com/maps/search/?api=1&amp;query=I.E.%20SAN%20MATEO%20SEDE%20B%2C%20CR.%205%20B%20ESTE%20No.%2026%20-%2004%2C%20SOACHA&amp;query_place_id=ChIJq6nXbsWfP44RhP8QTB7qIdc" TargetMode="External"/><Relationship Id="rId36" Type="http://schemas.openxmlformats.org/officeDocument/2006/relationships/hyperlink" Target="https://www.google.com/maps/search/?api=1&amp;query=ESCUELA%20RAUL%20SILVA%20HOLGUIN%2C%20DG%2026K%20%23T83-24%2C%20CALI&amp;query_place_id=ChIJ6an0lxSnMI4RknUt3TvU0m8" TargetMode="External"/><Relationship Id="rId49" Type="http://schemas.openxmlformats.org/officeDocument/2006/relationships/hyperlink" Target="https://www.google.com/maps/search/?api=1&amp;query=4.5728031%2C-74.2424978" TargetMode="External"/><Relationship Id="rId57" Type="http://schemas.openxmlformats.org/officeDocument/2006/relationships/hyperlink" Target="https://www.google.com/maps/search/?api=1&amp;query=I.E.%20LEON%20XIII%2C%20CR.%208%20NO.%205%20-%2083%20LEON%20XIII%2C%20SOACHA&amp;query_place_id=ChIJzSBFa0qeP44RUhZ0XnuWe6Q" TargetMode="External"/><Relationship Id="rId10" Type="http://schemas.openxmlformats.org/officeDocument/2006/relationships/hyperlink" Target="https://www.google.com/maps/search/?api=1&amp;query=IE%20JESUS%20MARIA%20ORMAZA%2C%20CRA%2022%20BIS%20%23%2075%2000%2C%20PEREIRA&amp;query_place_id=ChIJZdRnlbh9OI4Rkm9iK2Oxpd4" TargetMode="External"/><Relationship Id="rId31" Type="http://schemas.openxmlformats.org/officeDocument/2006/relationships/hyperlink" Target="https://www.google.com/maps/search/?api=1&amp;query=I.E.%20SAN%20MATEO%20SEDE%20A%2C%20CR.%205%20B%20ESTE%20No.%2026%20-%2004%2C%20SOACHA&amp;query_place_id=ChIJq6nXbsWfP44RhP8QTB7qIdc" TargetMode="External"/><Relationship Id="rId44" Type="http://schemas.openxmlformats.org/officeDocument/2006/relationships/hyperlink" Target="https://www.google.com/maps/search/?api=1&amp;query=I.E.%20SOACHA%20AVANZA%20LA%20UNIDAD%2C%20CRA%2038%20No%2014%20-%2072%2C%20SOACHA&amp;query_place_id=ChIJySCrQ-91P44RTjigoQnGYCQ" TargetMode="External"/><Relationship Id="rId52" Type="http://schemas.openxmlformats.org/officeDocument/2006/relationships/hyperlink" Target="https://www.google.com/maps/search/?api=1&amp;query=BOSA%20SAN%20JOSE%2C%20CRA%2089BIS%20%2385A-20SUR%20CRA%2080K%20%2385A-33SUR%2C%20BOGOTA%20D.C.&amp;query_place_id=ChIJaT0NbRmeP44RHNbPTUAuQCk" TargetMode="External"/><Relationship Id="rId60" Type="http://schemas.openxmlformats.org/officeDocument/2006/relationships/hyperlink" Target="https://www.google.com/maps/search/?api=1&amp;query=COLEGIO%20MINUTO%20DE%20DIOS%20CIUDAD%20VERDE%2C%20CALLE%2038%20No%2031%20141%20CIUDAD%20VERDE%2C%20SOACHA&amp;query_place_id=ChIJWZy_aSGeP44Rqmh5VIxCE3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4.5971912%2C-74.1803664" TargetMode="External"/><Relationship Id="rId18" Type="http://schemas.openxmlformats.org/officeDocument/2006/relationships/hyperlink" Target="https://www.google.com/maps/search/?api=1&amp;query=6.1276899%2C-72.3351729" TargetMode="External"/><Relationship Id="rId26" Type="http://schemas.openxmlformats.org/officeDocument/2006/relationships/hyperlink" Target="https://www.google.com/maps/search/?api=1&amp;query=MODELIA%20REAL%2C%20CLL%2024%20D%20%23%2082-13%20o%20CRA%2082%20%23%2024C-%2029%2C%20BOGOTA%20D.C.&amp;query_place_id=ChIJ17WFV36bP44RpXOPT8Gn7xU" TargetMode="External"/><Relationship Id="rId39" Type="http://schemas.openxmlformats.org/officeDocument/2006/relationships/hyperlink" Target="https://www.google.com/maps/search/?api=1&amp;query=LA%20PRADERA%2C%20CLL%204%20B%20%23%2065%20-%2031%2C%20BOGOTA%20D.C.&amp;query_place_id=ChIJCQ6Tk1SZP44RwPm2pPpZN4k" TargetMode="External"/><Relationship Id="rId21" Type="http://schemas.openxmlformats.org/officeDocument/2006/relationships/hyperlink" Target="https://www.google.com/maps/search/?api=1&amp;query=I.E.%20SAN%20MATEO%20SEDE%20A%2C%20CR.%205%20B%20ESTE%20No.%2026%20-%2004%2C%20SOACHA&amp;query_place_id=ChIJq6nXbsWfP44RhP8QTB7qIdc" TargetMode="External"/><Relationship Id="rId34" Type="http://schemas.openxmlformats.org/officeDocument/2006/relationships/hyperlink" Target="https://www.google.com/maps/search/?api=1&amp;query=COLEGIO%20COLSUBSIDIO%20CHICALA%2C%20CRA%2087%20No%2053C-26%20SUR%2C%20BOGOTA%20D.C.&amp;query_place_id=ChIJue7Lj3meP44RWWJEK5ELmRA" TargetMode="External"/><Relationship Id="rId42" Type="http://schemas.openxmlformats.org/officeDocument/2006/relationships/hyperlink" Target="https://www.google.com/maps/search/?api=1&amp;query=BOSA%20SAN%20JOSE%2C%20CRA%2089BIS%20%2385A-20SUR%20CRA%2080K%20%2385A-33SUR%2C%20BOGOTA%20D.C.&amp;query_place_id=ChIJaT0NbRmeP44RHNbPTUAuQCk" TargetMode="External"/><Relationship Id="rId47" Type="http://schemas.openxmlformats.org/officeDocument/2006/relationships/hyperlink" Target="https://www.google.com/maps/search/?api=1&amp;query=I.E.%20LEON%20XIII%2C%20CR.%208%20NO.%205%20-%2083%20LEON%20XIII%2C%20SOACHA&amp;query_place_id=ChIJzSBFa0qeP44RUhZ0XnuWe6Q" TargetMode="External"/><Relationship Id="rId7" Type="http://schemas.openxmlformats.org/officeDocument/2006/relationships/hyperlink" Target="https://www.google.com/maps/search/?api=1&amp;query=COLEGIO%20MILITAR%20LICEO%20SOCIAL%20COMPARTIR%2C%20CLL%2018%20SUR%20NRO%209F%2024%20COMPARTIR%2C%20SOACHA&amp;query_place_id=ChIJlw5cFEF1P44RohdyP7HtW7s" TargetMode="External"/><Relationship Id="rId2" Type="http://schemas.openxmlformats.org/officeDocument/2006/relationships/hyperlink" Target="https://www.google.com/maps/search/?api=1&amp;query=I.E.%20LICEO%20MAYOR%20DE%20SOACHA%2C%20CLL.%2038%20No.%206%20A%20-%2055%20ESTE%2C%20SOACHA&amp;query_place_id=ChIJg2hD0cmfP44RL1X3qYNA0xo" TargetMode="External"/><Relationship Id="rId16" Type="http://schemas.openxmlformats.org/officeDocument/2006/relationships/hyperlink" Target="https://www.google.com/maps/search/?api=1&amp;query=IE%20SAN%20JOSE%2C%20CLL%2048%20No%2030-56%20EL%20EDEN%2C%20SINCELEJO&amp;query_place_id=ChIJRbtHXKUVWY4R2IJYob3YEsM" TargetMode="External"/><Relationship Id="rId29" Type="http://schemas.openxmlformats.org/officeDocument/2006/relationships/hyperlink" Target="https://www.google.com/maps/search/?api=1&amp;query=ESCUELA%20RAUL%20SILVA%20HOLGUIN%2C%20DG%2026K%20%23T83-24%2C%20CALI&amp;query_place_id=ChIJ6an0lxSnMI4RknUt3TvU0m8" TargetMode="External"/><Relationship Id="rId11" Type="http://schemas.openxmlformats.org/officeDocument/2006/relationships/hyperlink" Target="https://www.google.com/maps/search/?api=1&amp;query=GRAN%20PLAZA%20EL%20ENSUE&#209;O%2C%20CRA%2051%20%2359%20C-93%20SUR%20/CLL%2059%20SUR%20%2351-21%2C%20BOGOTA%20D.C.&amp;query_place_id=ChIJzf6CvuKfP44Rpe0WEGYkq50" TargetMode="External"/><Relationship Id="rId24" Type="http://schemas.openxmlformats.org/officeDocument/2006/relationships/hyperlink" Target="https://www.google.com/maps/search/?api=1&amp;query=MEDICINA%20LEGAL%2C%20KR12%20A%20%23%207%20-%2007%2C%20BOGOTA%20D.C.&amp;query_place_id=ChIJM2CMtAiZP44R7o98r5iAQ68" TargetMode="External"/><Relationship Id="rId32" Type="http://schemas.openxmlformats.org/officeDocument/2006/relationships/hyperlink" Target="https://www.google.com/maps/search/?api=1&amp;query=I.E.%20FRANCISCO%20JOSE%20DE%20CALDAS%2C%20CLLE%208N%20NUM%2016-76%20LLERAS%2C%20YUMBO&amp;query_place_id=ChIJMc6xoPOrMI4RAyXn5t5PR7g" TargetMode="External"/><Relationship Id="rId37" Type="http://schemas.openxmlformats.org/officeDocument/2006/relationships/hyperlink" Target="https://www.google.com/maps/search/?api=1&amp;query=4.5439600%2C-74.2753900" TargetMode="External"/><Relationship Id="rId40" Type="http://schemas.openxmlformats.org/officeDocument/2006/relationships/hyperlink" Target="https://www.google.com/maps/search/?api=1&amp;query=4.5728031%2C-74.2424978" TargetMode="External"/><Relationship Id="rId45" Type="http://schemas.openxmlformats.org/officeDocument/2006/relationships/hyperlink" Target="https://www.google.com/maps/search/?api=1&amp;query=C%20ACONDICIONAMIENTO%20Y%20PRE%20FISICA%20CAPF%20II%2C%20TRASVERSAL%206%20No%201-29%2C%20SOPO&amp;query_place_id=ChIJwx6L64Z2QI4RZLIewlD2j6U" TargetMode="External"/><Relationship Id="rId5" Type="http://schemas.openxmlformats.org/officeDocument/2006/relationships/hyperlink" Target="https://www.google.com/maps/search/?api=1&amp;query=CENTRO%20COMERCIAL%20MERCURIO%2C%20CRA%207%20NRO%2032%2035%2C%20SOACHA&amp;query_place_id=ChIJeTSMe82fP44RYImVSyjxGSQ" TargetMode="External"/><Relationship Id="rId15" Type="http://schemas.openxmlformats.org/officeDocument/2006/relationships/hyperlink" Target="https://www.google.com/maps/search/?api=1&amp;query=ZONA%20FRANCA%2C%20CLL%2014%20A%20%23%20108%20-%2078%2C%20BOGOTA%20D.C.&amp;query_place_id=ChIJNyiehfGcP44RwPcZNg-jjE0" TargetMode="External"/><Relationship Id="rId23" Type="http://schemas.openxmlformats.org/officeDocument/2006/relationships/hyperlink" Target="https://www.google.com/maps/search/?api=1&amp;query=COLISEO%20LEON%20XIII%2C%20CLL%2048%20No%209-05%20LEON%20XIII%2C%20SOACHA&amp;query_place_id=ChIJEQcIY62fP44RKOyBQDolU7o" TargetMode="External"/><Relationship Id="rId28" Type="http://schemas.openxmlformats.org/officeDocument/2006/relationships/hyperlink" Target="https://www.google.com/maps/search/?api=1&amp;query=IE%20GENERAL%20SANTANDER%20SD%20MI%20TIERNA%20EDAD%2C%20CLL.%2014%20NO.%208%20-%2025%20CENTRO%2C%20SOACHA&amp;query_place_id=ChIJA6rcLm91P44Rkwcl2dHotMo" TargetMode="External"/><Relationship Id="rId36" Type="http://schemas.openxmlformats.org/officeDocument/2006/relationships/hyperlink" Target="https://www.google.com/maps/search/?api=1&amp;query=40.4177500%2C-3.6996600" TargetMode="External"/><Relationship Id="rId49" Type="http://schemas.openxmlformats.org/officeDocument/2006/relationships/hyperlink" Target="https://www.google.com/maps/search/?api=1&amp;query=4.6550314%2C-74.0764674" TargetMode="External"/><Relationship Id="rId10" Type="http://schemas.openxmlformats.org/officeDocument/2006/relationships/hyperlink" Target="https://www.google.com/maps/search/?api=1&amp;query=NUEVO%20COLISEO%20MUNICIPAL%2C%20CLL%201%20No%202-00%2C%20MOSQUERA&amp;query_place_id=ChIJy4QgrGh3P44RxceyQ4iWoi0" TargetMode="External"/><Relationship Id="rId19" Type="http://schemas.openxmlformats.org/officeDocument/2006/relationships/hyperlink" Target="https://www.google.com/maps/search/?api=1&amp;query=Barcelona%20-%20Consulado%2C%20Seminari%20Conciliar%20de%20Barcelona%2C%20ESPA&#209;A&amp;query_place_id=ChIJT2AOp6SipBIRrG3QZ7BmZYI" TargetMode="External"/><Relationship Id="rId31" Type="http://schemas.openxmlformats.org/officeDocument/2006/relationships/hyperlink" Target="https://www.google.com/maps/search/?api=1&amp;query=I.E.%20FRANCISCO%20MIRANDA%2C%20KR%2051C%20%23%2079-56%2C%20MEDELLIN&amp;query_place_id=ChIJ48yToNwoRI4RvlNgTRbLjxM" TargetMode="External"/><Relationship Id="rId44" Type="http://schemas.openxmlformats.org/officeDocument/2006/relationships/hyperlink" Target="https://www.google.com/maps/search/?api=1&amp;query=IEM%20CUNDINAMARCA%2C%20CL%207%20N%201A-36%20BR.%20LA%20CONCEPCION%2C%20ZIPAQUIRA&amp;query_place_id=ChIJ3W4_YOBvQI4RwFQZiNdzygM" TargetMode="External"/><Relationship Id="rId4" Type="http://schemas.openxmlformats.org/officeDocument/2006/relationships/hyperlink" Target="https://www.google.com/maps/search/?api=1&amp;query=I.E.%20SOACHA%20AVANZA%20LA%20UNIDAD%2C%20CRA%2038%20No%2014%20-%2072%2C%20SOACHA&amp;query_place_id=ChIJySCrQ-91P44RTjigoQnGYCQ" TargetMode="External"/><Relationship Id="rId9" Type="http://schemas.openxmlformats.org/officeDocument/2006/relationships/hyperlink" Target="https://www.google.com/maps/search/?api=1&amp;query=COLEGIO%20AMERICANO%2C%20CALLE%2021%20No.%2010-40%2C%20GIRARDOT&amp;query_place_id=ChIJhXs9quwoP44RphzSrqsSpHE" TargetMode="External"/><Relationship Id="rId14" Type="http://schemas.openxmlformats.org/officeDocument/2006/relationships/hyperlink" Target="https://www.google.com/maps/search/?api=1&amp;query=SAN%20CARLOS%2C%20CRA%2019%20No%2050%20A%20-%2037%20SUR%2C%20BOGOTA%20D.C.&amp;query_place_id=ChIJGUUkvjWfP44RNV3njR1kRTA" TargetMode="External"/><Relationship Id="rId22" Type="http://schemas.openxmlformats.org/officeDocument/2006/relationships/hyperlink" Target="https://www.google.com/maps/search/?api=1&amp;query=I.E.%20SAN%20MATEO%20SEDE%20B%2C%20CR.%205%20B%20ESTE%20No.%2026%20-%2004%2C%20SOACHA&amp;query_place_id=ChIJq6nXbsWfP44RhP8QTB7qIdc" TargetMode="External"/><Relationship Id="rId27" Type="http://schemas.openxmlformats.org/officeDocument/2006/relationships/hyperlink" Target="https://www.google.com/maps/search/?api=1&amp;query=COLISEO%20GENERAL%20SANTANDER%2C%20CLL.%2015%20NO.%208%20-%2053%2C%20SOACHA&amp;query_place_id=ChIJsaviINafP44RxEf5zWYnOQs" TargetMode="External"/><Relationship Id="rId30" Type="http://schemas.openxmlformats.org/officeDocument/2006/relationships/hyperlink" Target="https://www.google.com/maps/search/?api=1&amp;query=4.4933690%2C-74.2579751" TargetMode="External"/><Relationship Id="rId35" Type="http://schemas.openxmlformats.org/officeDocument/2006/relationships/hyperlink" Target="https://www.google.com/maps/search/?api=1&amp;query=IE%20LUIS%20C.%20GALAN-SD%20VILLAS%20DE%20CASALOMA%2C%20CLL%2059%20B%20No%2015%20-%2060%20E%2C%20SOACHA&amp;query_place_id=ChIJFRPRGSCfP44RT5E6ZukvMfg" TargetMode="External"/><Relationship Id="rId43" Type="http://schemas.openxmlformats.org/officeDocument/2006/relationships/hyperlink" Target="https://www.google.com/maps/search/?api=1&amp;query=SEDE%20EDU%20SIMON%20BOLIVAR%2C%20CARRERA%2014%20No%2018-38%2C%20ZIPAQUIRA&amp;query_place_id=ChIJsdSUitpvQI4RycCcPGqIsag" TargetMode="External"/><Relationship Id="rId48" Type="http://schemas.openxmlformats.org/officeDocument/2006/relationships/hyperlink" Target="https://www.google.com/maps/search/?api=1&amp;query=4.5770728%2C-74.2139061" TargetMode="External"/><Relationship Id="rId8" Type="http://schemas.openxmlformats.org/officeDocument/2006/relationships/hyperlink" Target="https://www.google.com/maps/search/?api=1&amp;query=I.E.%20VIDA%20NUEVA%2C%20CRA%2019%20A%20No%204%20-%2090%20SUR%2C%20SOACHA&amp;query_place_id=ChIJMZ7GtIJ1P44RbnaACQ4TL5I" TargetMode="External"/><Relationship Id="rId3" Type="http://schemas.openxmlformats.org/officeDocument/2006/relationships/hyperlink" Target="https://www.google.com/maps/search/?api=1&amp;query=I.E.%20LEON%20XIII%20-%20CHILOE%2C%20DIAG.%2028%20No.%2028%20-%2099%20CIUDAD%20VERDE%2C%20SOACHA&amp;query_place_id=ChIJYQ18xiaeP44RdUP0hYfbnPQ" TargetMode="External"/><Relationship Id="rId12" Type="http://schemas.openxmlformats.org/officeDocument/2006/relationships/hyperlink" Target="https://www.google.com/maps/search/?api=1&amp;query=LA%20FLORIDA%2C%20CRA%2089%20%23%2068A-36%20CRA%2089%20%23%2068A-32%2C%20BOGOTA%20D.C.&amp;query_place_id=ChIJp_xll0SbP44RUwnw3Y3BoiM" TargetMode="External"/><Relationship Id="rId17" Type="http://schemas.openxmlformats.org/officeDocument/2006/relationships/hyperlink" Target="https://www.google.com/maps/search/?api=1&amp;query=IE%20JESUS%20MARIA%20ORMAZA%2C%20CRA%2022%20BIS%20%23%2075%2000%2C%20PEREIRA&amp;query_place_id=ChIJZdRnlbh9OI4Rkm9iK2Oxpd4" TargetMode="External"/><Relationship Id="rId25" Type="http://schemas.openxmlformats.org/officeDocument/2006/relationships/hyperlink" Target="https://www.google.com/maps/search/?api=1&amp;query=EL%20PORTAL%2C%20CRA%203B.%20No.%2030A%20-%2042%20SUR%2C%20BOGOTA%20D.C.&amp;query_place_id=ChIJAQqInpSYP44RO_0WPjbvfKY" TargetMode="External"/><Relationship Id="rId33" Type="http://schemas.openxmlformats.org/officeDocument/2006/relationships/hyperlink" Target="https://www.google.com/maps/search/?api=1&amp;query=4.5756571%2C-74.2456952" TargetMode="External"/><Relationship Id="rId38" Type="http://schemas.openxmlformats.org/officeDocument/2006/relationships/hyperlink" Target="https://www.google.com/maps/search/?api=1&amp;query=4.8546287%2C-74.2608704" TargetMode="External"/><Relationship Id="rId46" Type="http://schemas.openxmlformats.org/officeDocument/2006/relationships/hyperlink" Target="https://www.google.com/maps/search/?api=1&amp;query=CENTRO%20DEPORTIVO%20PARQUE%20DE%20LOS%20LOCOS%2C%20CRA%209%20CLL%2015%2C%20SOACHA&amp;query_place_id=ChIJocdlD9afP44R_p_2vQs5V7g" TargetMode="External"/><Relationship Id="rId20" Type="http://schemas.openxmlformats.org/officeDocument/2006/relationships/hyperlink" Target="https://www.google.com/maps/search/?api=1&amp;query=LAURA%20HERRERA%2C%20Carrera%2089%20B%20No.%2054%20F%2020%20Sur-%20Bosa%20Brasil%2C%20BOGOTA%20D.C.&amp;query_place_id=ChIJkUSjgkmdP44Re9nOszjvHjk" TargetMode="External"/><Relationship Id="rId41" Type="http://schemas.openxmlformats.org/officeDocument/2006/relationships/hyperlink" Target="https://www.google.com/maps/search/?api=1&amp;query=SALON%20COMUNAL%20MARSELLA%2C%20CRA%2069%20No%208-28%2C%20BOGOTA%20D.C.&amp;query_place_id=ChIJy1stKQGcP44Rg33fdlm4jyU" TargetMode="External"/><Relationship Id="rId1" Type="http://schemas.openxmlformats.org/officeDocument/2006/relationships/hyperlink" Target="https://www.google.com/maps/search/?api=1&amp;query=COLEGIO%20MINUTO%20DE%20DIOS%20CIUDAD%20VERDE%2C%20CALLE%2038%20No%2031%20141%20CIUDAD%20VERDE%2C%20SOACHA&amp;query_place_id=ChIJWZy_aSGeP44Rqmh5VIxCE3k" TargetMode="External"/><Relationship Id="rId6" Type="http://schemas.openxmlformats.org/officeDocument/2006/relationships/hyperlink" Target="https://www.google.com/maps/search/?api=1&amp;query=CENTRO%20COMERCIAL%20VENTURA%20TERREROS%2C%20CRA%201%20NRO%2038%2089%20SOACHA%2C%20SOACHA&amp;query_place_id=ChIJPcfJ_6qfP44Rurz0vVU6j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Normal="100" workbookViewId="0">
      <pane ySplit="1" topLeftCell="A60" activePane="bottomLeft" state="frozen"/>
      <selection pane="bottomLeft" activeCell="I84" sqref="I84"/>
    </sheetView>
  </sheetViews>
  <sheetFormatPr baseColWidth="10" defaultColWidth="8.7109375" defaultRowHeight="15" x14ac:dyDescent="0.25"/>
  <cols>
    <col min="1" max="1" width="13" customWidth="1"/>
    <col min="2" max="2" width="15" customWidth="1"/>
    <col min="3" max="3" width="13" customWidth="1"/>
    <col min="4" max="4" width="36" customWidth="1"/>
    <col min="5" max="5" width="34" customWidth="1"/>
    <col min="6" max="6" width="7" customWidth="1"/>
    <col min="7" max="7" width="11" customWidth="1"/>
    <col min="8" max="8" width="12" customWidth="1"/>
    <col min="9" max="9" width="13" customWidth="1"/>
    <col min="10" max="10" width="14" customWidth="1"/>
    <col min="11" max="11" width="12" customWidth="1"/>
    <col min="12" max="12" width="9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tr">
        <f>INDEX(Puestos!E:E,MATCH($L2,Puestos!$A:$A,0))</f>
        <v>CUNDINAMARCA</v>
      </c>
      <c r="C2" s="3" t="str">
        <f>INDEX(Puestos!D:D,MATCH($L2,Puestos!$A:$A,0))</f>
        <v>SOACHA</v>
      </c>
      <c r="D2" s="4" t="str">
        <f>INDEX(Puestos!B:B,MATCH($L2,Puestos!$A:$A,0))</f>
        <v>I.E. SOACHA AVANZA LA UNIDAD</v>
      </c>
      <c r="E2" s="4" t="str">
        <f>INDEX(Puestos!C:C,MATCH($L2,Puestos!$A:$A,0))</f>
        <v>CRA 38 No 14 - 72</v>
      </c>
      <c r="F2" s="3">
        <v>1</v>
      </c>
      <c r="G2" s="5">
        <f>INDEX(Puestos!F:F,MATCH($L2,Puestos!$A:$A,0))</f>
        <v>4.6099952999999996</v>
      </c>
      <c r="H2" s="5">
        <f>INDEX(Puestos!G:G,MATCH($L2,Puestos!$A:$A,0))</f>
        <v>-74.223867299999995</v>
      </c>
      <c r="I2" s="3" t="str">
        <f>INDEX(Puestos!H:H,MATCH($L2,Puestos!$A:$A,0))</f>
        <v>Exacta</v>
      </c>
      <c r="J2" s="6" t="s">
        <v>13</v>
      </c>
      <c r="K2" s="3" t="s">
        <v>14</v>
      </c>
      <c r="L2" s="3" t="s">
        <v>15</v>
      </c>
    </row>
    <row r="3" spans="1:12" ht="25.5" x14ac:dyDescent="0.25">
      <c r="A3" s="2" t="s">
        <v>16</v>
      </c>
      <c r="B3" s="3" t="str">
        <f>INDEX(Puestos!E:E,MATCH($L3,Puestos!$A:$A,0))</f>
        <v>CUNDINAMARCA</v>
      </c>
      <c r="C3" s="3" t="str">
        <f>INDEX(Puestos!D:D,MATCH($L3,Puestos!$A:$A,0))</f>
        <v>SOACHA</v>
      </c>
      <c r="D3" s="4" t="str">
        <f>INDEX(Puestos!B:B,MATCH($L3,Puestos!$A:$A,0))</f>
        <v>COLEGIO MINUTO DE DIOS CIUDAD VERDE</v>
      </c>
      <c r="E3" s="4" t="str">
        <f>INDEX(Puestos!C:C,MATCH($L3,Puestos!$A:$A,0))</f>
        <v>CALLE 38 No 31 141 CIUDAD VERDE</v>
      </c>
      <c r="F3" s="3">
        <v>37</v>
      </c>
      <c r="G3" s="5">
        <f>INDEX(Puestos!F:F,MATCH($L3,Puestos!$A:$A,0))</f>
        <v>4.6061877000000004</v>
      </c>
      <c r="H3" s="5">
        <f>INDEX(Puestos!G:G,MATCH($L3,Puestos!$A:$A,0))</f>
        <v>-74.213059599999994</v>
      </c>
      <c r="I3" s="3" t="str">
        <f>INDEX(Puestos!H:H,MATCH($L3,Puestos!$A:$A,0))</f>
        <v>Exacta</v>
      </c>
      <c r="J3" s="6" t="s">
        <v>13</v>
      </c>
      <c r="K3" s="3" t="s">
        <v>14</v>
      </c>
      <c r="L3" s="3" t="s">
        <v>17</v>
      </c>
    </row>
    <row r="4" spans="1:12" x14ac:dyDescent="0.25">
      <c r="A4" s="2" t="s">
        <v>18</v>
      </c>
      <c r="B4" s="3" t="str">
        <f>INDEX(Puestos!E:E,MATCH($L4,Puestos!$A:$A,0))</f>
        <v>CUNDINAMARCA</v>
      </c>
      <c r="C4" s="3" t="str">
        <f>INDEX(Puestos!D:D,MATCH($L4,Puestos!$A:$A,0))</f>
        <v>SOACHA</v>
      </c>
      <c r="D4" s="4" t="str">
        <f>INDEX(Puestos!B:B,MATCH($L4,Puestos!$A:$A,0))</f>
        <v>I.E. LICEO MAYOR DE SOACHA</v>
      </c>
      <c r="E4" s="4" t="str">
        <f>INDEX(Puestos!C:C,MATCH($L4,Puestos!$A:$A,0))</f>
        <v>CLL. 38 No. 6 A - 55 ESTE</v>
      </c>
      <c r="F4" s="3">
        <v>23</v>
      </c>
      <c r="G4" s="5">
        <f>INDEX(Puestos!F:F,MATCH($L4,Puestos!$A:$A,0))</f>
        <v>4.58256</v>
      </c>
      <c r="H4" s="5">
        <f>INDEX(Puestos!G:G,MATCH($L4,Puestos!$A:$A,0))</f>
        <v>-74.194387000000006</v>
      </c>
      <c r="I4" s="3" t="str">
        <f>INDEX(Puestos!H:H,MATCH($L4,Puestos!$A:$A,0))</f>
        <v>Exacta</v>
      </c>
      <c r="J4" s="6" t="s">
        <v>13</v>
      </c>
      <c r="K4" s="3" t="s">
        <v>14</v>
      </c>
      <c r="L4" s="3" t="s">
        <v>19</v>
      </c>
    </row>
    <row r="5" spans="1:12" x14ac:dyDescent="0.25">
      <c r="A5" s="2" t="s">
        <v>20</v>
      </c>
      <c r="B5" s="3" t="str">
        <f>INDEX(Puestos!E:E,MATCH($L5,Puestos!$A:$A,0))</f>
        <v>CUNDINAMARCA</v>
      </c>
      <c r="C5" s="3" t="str">
        <f>INDEX(Puestos!D:D,MATCH($L5,Puestos!$A:$A,0))</f>
        <v>GIRARDOT</v>
      </c>
      <c r="D5" s="4" t="str">
        <f>INDEX(Puestos!B:B,MATCH($L5,Puestos!$A:$A,0))</f>
        <v>COLEGIO AMERICANO</v>
      </c>
      <c r="E5" s="4" t="str">
        <f>INDEX(Puestos!C:C,MATCH($L5,Puestos!$A:$A,0))</f>
        <v>CALLE 21 No. 10-40</v>
      </c>
      <c r="F5" s="3">
        <v>8</v>
      </c>
      <c r="G5" s="5">
        <f>INDEX(Puestos!F:F,MATCH($L5,Puestos!$A:$A,0))</f>
        <v>4.2988521999999998</v>
      </c>
      <c r="H5" s="5">
        <f>INDEX(Puestos!G:G,MATCH($L5,Puestos!$A:$A,0))</f>
        <v>-74.804454100000001</v>
      </c>
      <c r="I5" s="3" t="str">
        <f>INDEX(Puestos!H:H,MATCH($L5,Puestos!$A:$A,0))</f>
        <v>Exacta</v>
      </c>
      <c r="J5" s="6" t="s">
        <v>13</v>
      </c>
      <c r="K5" s="3" t="s">
        <v>14</v>
      </c>
      <c r="L5" s="3" t="s">
        <v>21</v>
      </c>
    </row>
    <row r="6" spans="1:12" x14ac:dyDescent="0.25">
      <c r="A6" s="2" t="s">
        <v>22</v>
      </c>
      <c r="B6" s="3" t="str">
        <f>INDEX(Puestos!E:E,MATCH($L6,Puestos!$A:$A,0))</f>
        <v>CUNDINAMARCA</v>
      </c>
      <c r="C6" s="3" t="str">
        <f>INDEX(Puestos!D:D,MATCH($L6,Puestos!$A:$A,0))</f>
        <v>SOACHA</v>
      </c>
      <c r="D6" s="4" t="str">
        <f>INDEX(Puestos!B:B,MATCH($L6,Puestos!$A:$A,0))</f>
        <v>CENTRO COMERCIAL MERCURIO</v>
      </c>
      <c r="E6" s="4" t="str">
        <f>INDEX(Puestos!C:C,MATCH($L6,Puestos!$A:$A,0))</f>
        <v>CRA 7 NRO 32 35</v>
      </c>
      <c r="F6" s="3">
        <v>31</v>
      </c>
      <c r="G6" s="5">
        <f>INDEX(Puestos!F:F,MATCH($L6,Puestos!$A:$A,0))</f>
        <v>4.5881616000000003</v>
      </c>
      <c r="H6" s="5">
        <f>INDEX(Puestos!G:G,MATCH($L6,Puestos!$A:$A,0))</f>
        <v>-74.203519099999994</v>
      </c>
      <c r="I6" s="3" t="str">
        <f>INDEX(Puestos!H:H,MATCH($L6,Puestos!$A:$A,0))</f>
        <v>Exacta</v>
      </c>
      <c r="J6" s="6" t="s">
        <v>13</v>
      </c>
      <c r="K6" s="3" t="s">
        <v>14</v>
      </c>
      <c r="L6" s="3" t="s">
        <v>23</v>
      </c>
    </row>
    <row r="7" spans="1:12" x14ac:dyDescent="0.25">
      <c r="A7" s="2" t="s">
        <v>24</v>
      </c>
      <c r="B7" s="3" t="str">
        <f>INDEX(Puestos!E:E,MATCH($L7,Puestos!$A:$A,0))</f>
        <v>SUCRE</v>
      </c>
      <c r="C7" s="3" t="str">
        <f>INDEX(Puestos!D:D,MATCH($L7,Puestos!$A:$A,0))</f>
        <v>SINCELEJO</v>
      </c>
      <c r="D7" s="4" t="str">
        <f>INDEX(Puestos!B:B,MATCH($L7,Puestos!$A:$A,0))</f>
        <v>IE SAN JOSE</v>
      </c>
      <c r="E7" s="4" t="str">
        <f>INDEX(Puestos!C:C,MATCH($L7,Puestos!$A:$A,0))</f>
        <v>CLL 48 No 30-56 EL EDEN</v>
      </c>
      <c r="F7" s="3">
        <v>16</v>
      </c>
      <c r="G7" s="5">
        <f>INDEX(Puestos!F:F,MATCH($L7,Puestos!$A:$A,0))</f>
        <v>9.2940664999999996</v>
      </c>
      <c r="H7" s="5">
        <f>INDEX(Puestos!G:G,MATCH($L7,Puestos!$A:$A,0))</f>
        <v>-75.376872399999996</v>
      </c>
      <c r="I7" s="3" t="str">
        <f>INDEX(Puestos!H:H,MATCH($L7,Puestos!$A:$A,0))</f>
        <v>Exacta</v>
      </c>
      <c r="J7" s="6" t="s">
        <v>13</v>
      </c>
      <c r="K7" s="3" t="s">
        <v>14</v>
      </c>
      <c r="L7" s="3" t="s">
        <v>25</v>
      </c>
    </row>
    <row r="8" spans="1:12" ht="25.5" x14ac:dyDescent="0.25">
      <c r="A8" s="2" t="s">
        <v>26</v>
      </c>
      <c r="B8" s="3" t="str">
        <f>INDEX(Puestos!E:E,MATCH($L8,Puestos!$A:$A,0))</f>
        <v>CUNDINAMARCA</v>
      </c>
      <c r="C8" s="3" t="str">
        <f>INDEX(Puestos!D:D,MATCH($L8,Puestos!$A:$A,0))</f>
        <v>SOACHA</v>
      </c>
      <c r="D8" s="4" t="str">
        <f>INDEX(Puestos!B:B,MATCH($L8,Puestos!$A:$A,0))</f>
        <v>COLEGIO MILITAR LICEO SOCIAL COMPARTIR</v>
      </c>
      <c r="E8" s="4" t="str">
        <f>INDEX(Puestos!C:C,MATCH($L8,Puestos!$A:$A,0))</f>
        <v>CLL 18 SUR NRO 9F 24 COMPARTIR</v>
      </c>
      <c r="F8" s="3">
        <v>13</v>
      </c>
      <c r="G8" s="5">
        <f>INDEX(Puestos!F:F,MATCH($L8,Puestos!$A:$A,0))</f>
        <v>4.5663852</v>
      </c>
      <c r="H8" s="5">
        <f>INDEX(Puestos!G:G,MATCH($L8,Puestos!$A:$A,0))</f>
        <v>-74.2371026</v>
      </c>
      <c r="I8" s="3" t="str">
        <f>INDEX(Puestos!H:H,MATCH($L8,Puestos!$A:$A,0))</f>
        <v>Revisar</v>
      </c>
      <c r="J8" s="6" t="s">
        <v>13</v>
      </c>
      <c r="K8" s="3" t="s">
        <v>14</v>
      </c>
      <c r="L8" s="3" t="s">
        <v>27</v>
      </c>
    </row>
    <row r="9" spans="1:12" ht="25.5" x14ac:dyDescent="0.25">
      <c r="A9" s="2" t="s">
        <v>28</v>
      </c>
      <c r="B9" s="3" t="str">
        <f>INDEX(Puestos!E:E,MATCH($L9,Puestos!$A:$A,0))</f>
        <v>CUNDINAMARCA</v>
      </c>
      <c r="C9" s="3" t="str">
        <f>INDEX(Puestos!D:D,MATCH($L9,Puestos!$A:$A,0))</f>
        <v>SOACHA</v>
      </c>
      <c r="D9" s="4" t="str">
        <f>INDEX(Puestos!B:B,MATCH($L9,Puestos!$A:$A,0))</f>
        <v>COLEGIO MINUTO DE DIOS CIUDAD VERDE</v>
      </c>
      <c r="E9" s="4" t="str">
        <f>INDEX(Puestos!C:C,MATCH($L9,Puestos!$A:$A,0))</f>
        <v>CALLE 38 No 31 141 CIUDAD VERDE</v>
      </c>
      <c r="F9" s="3">
        <v>22</v>
      </c>
      <c r="G9" s="5">
        <f>INDEX(Puestos!F:F,MATCH($L9,Puestos!$A:$A,0))</f>
        <v>4.6061877000000004</v>
      </c>
      <c r="H9" s="5">
        <f>INDEX(Puestos!G:G,MATCH($L9,Puestos!$A:$A,0))</f>
        <v>-74.213059599999994</v>
      </c>
      <c r="I9" s="3" t="str">
        <f>INDEX(Puestos!H:H,MATCH($L9,Puestos!$A:$A,0))</f>
        <v>Exacta</v>
      </c>
      <c r="J9" s="6" t="s">
        <v>13</v>
      </c>
      <c r="K9" s="3" t="s">
        <v>14</v>
      </c>
      <c r="L9" s="3" t="s">
        <v>17</v>
      </c>
    </row>
    <row r="10" spans="1:12" x14ac:dyDescent="0.25">
      <c r="A10" s="2" t="s">
        <v>29</v>
      </c>
      <c r="B10" s="3" t="str">
        <f>INDEX(Puestos!E:E,MATCH($L10,Puestos!$A:$A,0))</f>
        <v>CUNDINAMARCA</v>
      </c>
      <c r="C10" s="3" t="str">
        <f>INDEX(Puestos!D:D,MATCH($L10,Puestos!$A:$A,0))</f>
        <v>MOSQUERA</v>
      </c>
      <c r="D10" s="4" t="str">
        <f>INDEX(Puestos!B:B,MATCH($L10,Puestos!$A:$A,0))</f>
        <v>NUEVO COLISEO MUNICIPAL</v>
      </c>
      <c r="E10" s="4" t="str">
        <f>INDEX(Puestos!C:C,MATCH($L10,Puestos!$A:$A,0))</f>
        <v>CLL 1 No 2-00</v>
      </c>
      <c r="F10" s="3">
        <v>1</v>
      </c>
      <c r="G10" s="5">
        <f>INDEX(Puestos!F:F,MATCH($L10,Puestos!$A:$A,0))</f>
        <v>4.7035501000000002</v>
      </c>
      <c r="H10" s="5">
        <f>INDEX(Puestos!G:G,MATCH($L10,Puestos!$A:$A,0))</f>
        <v>-74.231015299999996</v>
      </c>
      <c r="I10" s="3" t="str">
        <f>INDEX(Puestos!H:H,MATCH($L10,Puestos!$A:$A,0))</f>
        <v>Exacta</v>
      </c>
      <c r="J10" s="6" t="s">
        <v>13</v>
      </c>
      <c r="K10" s="3" t="s">
        <v>14</v>
      </c>
      <c r="L10" s="3" t="s">
        <v>30</v>
      </c>
    </row>
    <row r="11" spans="1:12" x14ac:dyDescent="0.25">
      <c r="A11" s="2" t="s">
        <v>31</v>
      </c>
      <c r="B11" s="3" t="str">
        <f>INDEX(Puestos!E:E,MATCH($L11,Puestos!$A:$A,0))</f>
        <v>RISARALDA</v>
      </c>
      <c r="C11" s="3" t="str">
        <f>INDEX(Puestos!D:D,MATCH($L11,Puestos!$A:$A,0))</f>
        <v>PEREIRA</v>
      </c>
      <c r="D11" s="4" t="str">
        <f>INDEX(Puestos!B:B,MATCH($L11,Puestos!$A:$A,0))</f>
        <v>IE JESUS MARIA ORMAZA</v>
      </c>
      <c r="E11" s="4" t="str">
        <f>INDEX(Puestos!C:C,MATCH($L11,Puestos!$A:$A,0))</f>
        <v>CRA 22 BIS # 75 00</v>
      </c>
      <c r="F11" s="3">
        <v>5</v>
      </c>
      <c r="G11" s="5">
        <f>INDEX(Puestos!F:F,MATCH($L11,Puestos!$A:$A,0))</f>
        <v>4.8028212999999997</v>
      </c>
      <c r="H11" s="5">
        <f>INDEX(Puestos!G:G,MATCH($L11,Puestos!$A:$A,0))</f>
        <v>-75.744321900000003</v>
      </c>
      <c r="I11" s="3" t="str">
        <f>INDEX(Puestos!H:H,MATCH($L11,Puestos!$A:$A,0))</f>
        <v>Exacta</v>
      </c>
      <c r="J11" s="6" t="s">
        <v>13</v>
      </c>
      <c r="K11" s="3" t="s">
        <v>14</v>
      </c>
      <c r="L11" s="3" t="s">
        <v>32</v>
      </c>
    </row>
    <row r="12" spans="1:12" x14ac:dyDescent="0.25">
      <c r="A12" s="2" t="s">
        <v>33</v>
      </c>
      <c r="B12" s="3" t="str">
        <f>INDEX(Puestos!E:E,MATCH($L12,Puestos!$A:$A,0))</f>
        <v>BOGOTA D.C.</v>
      </c>
      <c r="C12" s="3" t="str">
        <f>INDEX(Puestos!D:D,MATCH($L12,Puestos!$A:$A,0))</f>
        <v>BOGOTA D.C.</v>
      </c>
      <c r="D12" s="4" t="str">
        <f>INDEX(Puestos!B:B,MATCH($L12,Puestos!$A:$A,0))</f>
        <v>ZONA FRANCA</v>
      </c>
      <c r="E12" s="4" t="str">
        <f>INDEX(Puestos!C:C,MATCH($L12,Puestos!$A:$A,0))</f>
        <v>CLL 14 A # 108 - 78</v>
      </c>
      <c r="F12" s="3">
        <v>33</v>
      </c>
      <c r="G12" s="5">
        <f>INDEX(Puestos!F:F,MATCH($L12,Puestos!$A:$A,0))</f>
        <v>4.6714469000000003</v>
      </c>
      <c r="H12" s="5">
        <f>INDEX(Puestos!G:G,MATCH($L12,Puestos!$A:$A,0))</f>
        <v>-74.155915500000006</v>
      </c>
      <c r="I12" s="3" t="str">
        <f>INDEX(Puestos!H:H,MATCH($L12,Puestos!$A:$A,0))</f>
        <v>Aproximada</v>
      </c>
      <c r="J12" s="6" t="s">
        <v>13</v>
      </c>
      <c r="K12" s="3" t="s">
        <v>14</v>
      </c>
      <c r="L12" s="3" t="s">
        <v>34</v>
      </c>
    </row>
    <row r="13" spans="1:12" x14ac:dyDescent="0.25">
      <c r="A13" s="2" t="s">
        <v>35</v>
      </c>
      <c r="B13" s="3" t="str">
        <f>INDEX(Puestos!E:E,MATCH($L13,Puestos!$A:$A,0))</f>
        <v>CUNDINAMARCA</v>
      </c>
      <c r="C13" s="3" t="str">
        <f>INDEX(Puestos!D:D,MATCH($L13,Puestos!$A:$A,0))</f>
        <v>SOACHA</v>
      </c>
      <c r="D13" s="4" t="str">
        <f>INDEX(Puestos!B:B,MATCH($L13,Puestos!$A:$A,0))</f>
        <v>I.E. VIDA NUEVA</v>
      </c>
      <c r="E13" s="4" t="str">
        <f>INDEX(Puestos!C:C,MATCH($L13,Puestos!$A:$A,0))</f>
        <v>CRA 19 A No 4 - 90 SUR</v>
      </c>
      <c r="F13" s="3">
        <v>9</v>
      </c>
      <c r="G13" s="5">
        <f>INDEX(Puestos!F:F,MATCH($L13,Puestos!$A:$A,0))</f>
        <v>4.5913260999999999</v>
      </c>
      <c r="H13" s="5">
        <f>INDEX(Puestos!G:G,MATCH($L13,Puestos!$A:$A,0))</f>
        <v>-74.228576099999998</v>
      </c>
      <c r="I13" s="3" t="str">
        <f>INDEX(Puestos!H:H,MATCH($L13,Puestos!$A:$A,0))</f>
        <v>Revisar</v>
      </c>
      <c r="J13" s="6" t="s">
        <v>13</v>
      </c>
      <c r="K13" s="3" t="s">
        <v>14</v>
      </c>
      <c r="L13" s="3" t="s">
        <v>36</v>
      </c>
    </row>
    <row r="14" spans="1:12" ht="25.5" x14ac:dyDescent="0.25">
      <c r="A14" s="2" t="s">
        <v>37</v>
      </c>
      <c r="B14" s="3" t="str">
        <f>INDEX(Puestos!E:E,MATCH($L14,Puestos!$A:$A,0))</f>
        <v>BOGOTA D.C.</v>
      </c>
      <c r="C14" s="3" t="str">
        <f>INDEX(Puestos!D:D,MATCH($L14,Puestos!$A:$A,0))</f>
        <v>BOGOTA D.C.</v>
      </c>
      <c r="D14" s="4" t="str">
        <f>INDEX(Puestos!B:B,MATCH($L14,Puestos!$A:$A,0))</f>
        <v>GRAN PLAZA EL ENSUEÑO</v>
      </c>
      <c r="E14" s="4" t="str">
        <f>INDEX(Puestos!C:C,MATCH($L14,Puestos!$A:$A,0))</f>
        <v>CRA 51 #59 C-93 SUR /CLL 59 SUR #51-21</v>
      </c>
      <c r="F14" s="3">
        <v>19</v>
      </c>
      <c r="G14" s="5">
        <f>INDEX(Puestos!F:F,MATCH($L14,Puestos!$A:$A,0))</f>
        <v>4.5822362999999999</v>
      </c>
      <c r="H14" s="5">
        <f>INDEX(Puestos!G:G,MATCH($L14,Puestos!$A:$A,0))</f>
        <v>-74.156754500000005</v>
      </c>
      <c r="I14" s="3" t="str">
        <f>INDEX(Puestos!H:H,MATCH($L14,Puestos!$A:$A,0))</f>
        <v>Exacta</v>
      </c>
      <c r="J14" s="6" t="s">
        <v>13</v>
      </c>
      <c r="K14" s="3" t="s">
        <v>14</v>
      </c>
      <c r="L14" s="3" t="s">
        <v>38</v>
      </c>
    </row>
    <row r="15" spans="1:12" x14ac:dyDescent="0.25">
      <c r="A15" s="2" t="s">
        <v>39</v>
      </c>
      <c r="B15" s="3" t="str">
        <f>INDEX(Puestos!E:E,MATCH($L15,Puestos!$A:$A,0))</f>
        <v>BOGOTA D.C.</v>
      </c>
      <c r="C15" s="3" t="str">
        <f>INDEX(Puestos!D:D,MATCH($L15,Puestos!$A:$A,0))</f>
        <v>BOGOTA D.C.</v>
      </c>
      <c r="D15" s="4" t="str">
        <f>INDEX(Puestos!B:B,MATCH($L15,Puestos!$A:$A,0))</f>
        <v>LA FLORIDA</v>
      </c>
      <c r="E15" s="4" t="str">
        <f>INDEX(Puestos!C:C,MATCH($L15,Puestos!$A:$A,0))</f>
        <v>CRA 89 # 68A-36 CRA 89 # 68A-32</v>
      </c>
      <c r="F15" s="3">
        <v>13</v>
      </c>
      <c r="G15" s="5">
        <f>INDEX(Puestos!F:F,MATCH($L15,Puestos!$A:$A,0))</f>
        <v>4.6928276000000002</v>
      </c>
      <c r="H15" s="5">
        <f>INDEX(Puestos!G:G,MATCH($L15,Puestos!$A:$A,0))</f>
        <v>-74.110623099999998</v>
      </c>
      <c r="I15" s="3" t="str">
        <f>INDEX(Puestos!H:H,MATCH($L15,Puestos!$A:$A,0))</f>
        <v>Exacta</v>
      </c>
      <c r="J15" s="6" t="s">
        <v>13</v>
      </c>
      <c r="K15" s="3" t="s">
        <v>14</v>
      </c>
      <c r="L15" s="3" t="s">
        <v>40</v>
      </c>
    </row>
    <row r="16" spans="1:12" ht="25.5" x14ac:dyDescent="0.25">
      <c r="A16" s="2" t="s">
        <v>41</v>
      </c>
      <c r="B16" s="3" t="str">
        <f>INDEX(Puestos!E:E,MATCH($L16,Puestos!$A:$A,0))</f>
        <v>BOGOTA D.C.</v>
      </c>
      <c r="C16" s="3" t="str">
        <f>INDEX(Puestos!D:D,MATCH($L16,Puestos!$A:$A,0))</f>
        <v>BOGOTA D.C.</v>
      </c>
      <c r="D16" s="4" t="str">
        <f>INDEX(Puestos!B:B,MATCH($L16,Puestos!$A:$A,0))</f>
        <v>LA ESTACION</v>
      </c>
      <c r="E16" s="4" t="str">
        <f>INDEX(Puestos!C:C,MATCH($L16,Puestos!$A:$A,0))</f>
        <v>CRA 78 ENTRE CLL 60A SUR Y CLL 63 SUR</v>
      </c>
      <c r="F16" s="3">
        <v>21</v>
      </c>
      <c r="G16" s="5">
        <f>INDEX(Puestos!F:F,MATCH($L16,Puestos!$A:$A,0))</f>
        <v>4.5971912000000001</v>
      </c>
      <c r="H16" s="5">
        <f>INDEX(Puestos!G:G,MATCH($L16,Puestos!$A:$A,0))</f>
        <v>-74.180366399999997</v>
      </c>
      <c r="I16" s="3" t="str">
        <f>INDEX(Puestos!H:H,MATCH($L16,Puestos!$A:$A,0))</f>
        <v>Aproximada</v>
      </c>
      <c r="J16" s="6" t="s">
        <v>13</v>
      </c>
      <c r="K16" s="3" t="s">
        <v>14</v>
      </c>
      <c r="L16" s="3" t="s">
        <v>42</v>
      </c>
    </row>
    <row r="17" spans="1:12" x14ac:dyDescent="0.25">
      <c r="A17" s="2" t="s">
        <v>43</v>
      </c>
      <c r="B17" s="3" t="str">
        <f>INDEX(Puestos!E:E,MATCH($L17,Puestos!$A:$A,0))</f>
        <v>CUNDINAMARCA</v>
      </c>
      <c r="C17" s="3" t="str">
        <f>INDEX(Puestos!D:D,MATCH($L17,Puestos!$A:$A,0))</f>
        <v>SOACHA</v>
      </c>
      <c r="D17" s="4" t="str">
        <f>INDEX(Puestos!B:B,MATCH($L17,Puestos!$A:$A,0))</f>
        <v>I.E. LEON XIII - CHILOE</v>
      </c>
      <c r="E17" s="4" t="str">
        <f>INDEX(Puestos!C:C,MATCH($L17,Puestos!$A:$A,0))</f>
        <v>DIAG. 28 No. 28 - 99 CIUDAD VERDE</v>
      </c>
      <c r="F17" s="3">
        <v>27</v>
      </c>
      <c r="G17" s="5">
        <f>INDEX(Puestos!F:F,MATCH($L17,Puestos!$A:$A,0))</f>
        <v>4.6049632999999996</v>
      </c>
      <c r="H17" s="5">
        <f>INDEX(Puestos!G:G,MATCH($L17,Puestos!$A:$A,0))</f>
        <v>-74.214160300000003</v>
      </c>
      <c r="I17" s="3" t="str">
        <f>INDEX(Puestos!H:H,MATCH($L17,Puestos!$A:$A,0))</f>
        <v>Exacta</v>
      </c>
      <c r="J17" s="6" t="s">
        <v>13</v>
      </c>
      <c r="K17" s="3" t="s">
        <v>14</v>
      </c>
      <c r="L17" s="3" t="s">
        <v>44</v>
      </c>
    </row>
    <row r="18" spans="1:12" ht="25.5" x14ac:dyDescent="0.25">
      <c r="A18" s="2" t="s">
        <v>45</v>
      </c>
      <c r="B18" s="3" t="str">
        <f>INDEX(Puestos!E:E,MATCH($L18,Puestos!$A:$A,0))</f>
        <v>CUNDINAMARCA</v>
      </c>
      <c r="C18" s="3" t="str">
        <f>INDEX(Puestos!D:D,MATCH($L18,Puestos!$A:$A,0))</f>
        <v>SOACHA</v>
      </c>
      <c r="D18" s="4" t="str">
        <f>INDEX(Puestos!B:B,MATCH($L18,Puestos!$A:$A,0))</f>
        <v>CENTRO COMERCIAL VENTURA TERREROS</v>
      </c>
      <c r="E18" s="4" t="str">
        <f>INDEX(Puestos!C:C,MATCH($L18,Puestos!$A:$A,0))</f>
        <v>CRA 1 NRO 38 89 SOACHA</v>
      </c>
      <c r="F18" s="3">
        <v>22</v>
      </c>
      <c r="G18" s="5">
        <f>INDEX(Puestos!F:F,MATCH($L18,Puestos!$A:$A,0))</f>
        <v>4.5884600000000004</v>
      </c>
      <c r="H18" s="5">
        <f>INDEX(Puestos!G:G,MATCH($L18,Puestos!$A:$A,0))</f>
        <v>-74.195040800000001</v>
      </c>
      <c r="I18" s="3" t="str">
        <f>INDEX(Puestos!H:H,MATCH($L18,Puestos!$A:$A,0))</f>
        <v>Exacta</v>
      </c>
      <c r="J18" s="6" t="s">
        <v>13</v>
      </c>
      <c r="K18" s="3" t="s">
        <v>14</v>
      </c>
      <c r="L18" s="3" t="s">
        <v>46</v>
      </c>
    </row>
    <row r="19" spans="1:12" x14ac:dyDescent="0.25">
      <c r="A19" s="2" t="s">
        <v>47</v>
      </c>
      <c r="B19" s="3" t="str">
        <f>INDEX(Puestos!E:E,MATCH($L19,Puestos!$A:$A,0))</f>
        <v>BOGOTA D.C.</v>
      </c>
      <c r="C19" s="3" t="str">
        <f>INDEX(Puestos!D:D,MATCH($L19,Puestos!$A:$A,0))</f>
        <v>BOGOTA D.C.</v>
      </c>
      <c r="D19" s="4" t="str">
        <f>INDEX(Puestos!B:B,MATCH($L19,Puestos!$A:$A,0))</f>
        <v>SAN CARLOS</v>
      </c>
      <c r="E19" s="4" t="str">
        <f>INDEX(Puestos!C:C,MATCH($L19,Puestos!$A:$A,0))</f>
        <v>CRA 19 No 50 A - 37 SUR</v>
      </c>
      <c r="F19" s="3">
        <v>25</v>
      </c>
      <c r="G19" s="5">
        <f>INDEX(Puestos!F:F,MATCH($L19,Puestos!$A:$A,0))</f>
        <v>4.5697017000000004</v>
      </c>
      <c r="H19" s="5">
        <f>INDEX(Puestos!G:G,MATCH($L19,Puestos!$A:$A,0))</f>
        <v>-74.127939999999995</v>
      </c>
      <c r="I19" s="3" t="str">
        <f>INDEX(Puestos!H:H,MATCH($L19,Puestos!$A:$A,0))</f>
        <v>Exacta</v>
      </c>
      <c r="J19" s="6" t="s">
        <v>13</v>
      </c>
      <c r="K19" s="3" t="s">
        <v>14</v>
      </c>
      <c r="L19" s="3" t="s">
        <v>48</v>
      </c>
    </row>
    <row r="20" spans="1:12" ht="25.5" x14ac:dyDescent="0.25">
      <c r="A20" s="2" t="s">
        <v>49</v>
      </c>
      <c r="B20" s="3" t="str">
        <f>INDEX(Puestos!E:E,MATCH($L20,Puestos!$A:$A,0))</f>
        <v>CUNDINAMARCA</v>
      </c>
      <c r="C20" s="3" t="str">
        <f>INDEX(Puestos!D:D,MATCH($L20,Puestos!$A:$A,0))</f>
        <v>SOACHA</v>
      </c>
      <c r="D20" s="4" t="str">
        <f>INDEX(Puestos!B:B,MATCH($L20,Puestos!$A:$A,0))</f>
        <v>COLEGIO MINUTO DE DIOS CIUDAD VERDE</v>
      </c>
      <c r="E20" s="4" t="str">
        <f>INDEX(Puestos!C:C,MATCH($L20,Puestos!$A:$A,0))</f>
        <v>CALLE 38 No 31 141 CIUDAD VERDE</v>
      </c>
      <c r="F20" s="3">
        <v>36</v>
      </c>
      <c r="G20" s="5">
        <f>INDEX(Puestos!F:F,MATCH($L20,Puestos!$A:$A,0))</f>
        <v>4.6061877000000004</v>
      </c>
      <c r="H20" s="5">
        <f>INDEX(Puestos!G:G,MATCH($L20,Puestos!$A:$A,0))</f>
        <v>-74.213059599999994</v>
      </c>
      <c r="I20" s="3" t="str">
        <f>INDEX(Puestos!H:H,MATCH($L20,Puestos!$A:$A,0))</f>
        <v>Exacta</v>
      </c>
      <c r="J20" s="6" t="s">
        <v>13</v>
      </c>
      <c r="K20" s="3" t="s">
        <v>14</v>
      </c>
      <c r="L20" s="3" t="s">
        <v>17</v>
      </c>
    </row>
    <row r="21" spans="1:12" x14ac:dyDescent="0.25">
      <c r="A21" s="2" t="s">
        <v>50</v>
      </c>
      <c r="B21" s="3" t="str">
        <f>INDEX(Puestos!E:E,MATCH($L21,Puestos!$A:$A,0))</f>
        <v>CASANARE</v>
      </c>
      <c r="C21" s="3" t="str">
        <f>INDEX(Puestos!D:D,MATCH($L21,Puestos!$A:$A,0))</f>
        <v>LA SALINA</v>
      </c>
      <c r="D21" s="4" t="str">
        <f>INDEX(Puestos!B:B,MATCH($L21,Puestos!$A:$A,0))</f>
        <v>PUESTO CABECERA MUNICIPAL</v>
      </c>
      <c r="E21" s="4" t="str">
        <f>INDEX(Puestos!C:C,MATCH($L21,Puestos!$A:$A,0))</f>
        <v>CRA 3A No 1B - 12</v>
      </c>
      <c r="F21" s="3">
        <v>3</v>
      </c>
      <c r="G21" s="5">
        <f>INDEX(Puestos!F:F,MATCH($L21,Puestos!$A:$A,0))</f>
        <v>6.1276899</v>
      </c>
      <c r="H21" s="5">
        <f>INDEX(Puestos!G:G,MATCH($L21,Puestos!$A:$A,0))</f>
        <v>-72.335172900000003</v>
      </c>
      <c r="I21" s="3" t="str">
        <f>INDEX(Puestos!H:H,MATCH($L21,Puestos!$A:$A,0))</f>
        <v>Aproximada</v>
      </c>
      <c r="J21" s="6" t="s">
        <v>13</v>
      </c>
      <c r="K21" s="3" t="s">
        <v>14</v>
      </c>
      <c r="L21" s="3" t="s">
        <v>51</v>
      </c>
    </row>
    <row r="22" spans="1:12" x14ac:dyDescent="0.25">
      <c r="A22" s="2" t="s">
        <v>52</v>
      </c>
      <c r="B22" s="3" t="str">
        <f>INDEX(Puestos!E:E,MATCH($L22,Puestos!$A:$A,0))</f>
        <v>CUNDINAMARCA</v>
      </c>
      <c r="C22" s="3" t="str">
        <f>INDEX(Puestos!D:D,MATCH($L22,Puestos!$A:$A,0))</f>
        <v>SOACHA</v>
      </c>
      <c r="D22" s="4" t="str">
        <f>INDEX(Puestos!B:B,MATCH($L22,Puestos!$A:$A,0))</f>
        <v>I.E. LICEO MAYOR DE SOACHA</v>
      </c>
      <c r="E22" s="4" t="str">
        <f>INDEX(Puestos!C:C,MATCH($L22,Puestos!$A:$A,0))</f>
        <v>CLL. 38 No. 6 A - 55 ESTE</v>
      </c>
      <c r="F22" s="3">
        <v>17</v>
      </c>
      <c r="G22" s="5">
        <f>INDEX(Puestos!F:F,MATCH($L22,Puestos!$A:$A,0))</f>
        <v>4.58256</v>
      </c>
      <c r="H22" s="5">
        <f>INDEX(Puestos!G:G,MATCH($L22,Puestos!$A:$A,0))</f>
        <v>-74.194387000000006</v>
      </c>
      <c r="I22" s="3" t="str">
        <f>INDEX(Puestos!H:H,MATCH($L22,Puestos!$A:$A,0))</f>
        <v>Exacta</v>
      </c>
      <c r="J22" s="6" t="s">
        <v>13</v>
      </c>
      <c r="K22" s="3" t="s">
        <v>14</v>
      </c>
      <c r="L22" s="3" t="s">
        <v>19</v>
      </c>
    </row>
    <row r="23" spans="1:12" x14ac:dyDescent="0.25">
      <c r="A23" s="2" t="s">
        <v>53</v>
      </c>
      <c r="B23" s="3" t="str">
        <f>INDEX(Puestos!E:E,MATCH($L23,Puestos!$A:$A,0))</f>
        <v>CONSULADOS</v>
      </c>
      <c r="C23" s="3" t="str">
        <f>INDEX(Puestos!D:D,MATCH($L23,Puestos!$A:$A,0))</f>
        <v>ESPAÑA</v>
      </c>
      <c r="D23" s="4" t="str">
        <f>INDEX(Puestos!B:B,MATCH($L23,Puestos!$A:$A,0))</f>
        <v>Barcelona - Consulado</v>
      </c>
      <c r="E23" s="4" t="str">
        <f>INDEX(Puestos!C:C,MATCH($L23,Puestos!$A:$A,0))</f>
        <v>Seminari Conciliar de Barcelona</v>
      </c>
      <c r="F23" s="3">
        <v>34</v>
      </c>
      <c r="G23" s="5">
        <f>INDEX(Puestos!F:F,MATCH($L23,Puestos!$A:$A,0))</f>
        <v>41.388081700000001</v>
      </c>
      <c r="H23" s="5">
        <f>INDEX(Puestos!G:G,MATCH($L23,Puestos!$A:$A,0))</f>
        <v>2.1632142999999999</v>
      </c>
      <c r="I23" s="3" t="str">
        <f>INDEX(Puestos!H:H,MATCH($L23,Puestos!$A:$A,0))</f>
        <v>Exacta</v>
      </c>
      <c r="J23" s="6" t="s">
        <v>13</v>
      </c>
      <c r="K23" s="3" t="s">
        <v>14</v>
      </c>
      <c r="L23" s="3" t="s">
        <v>54</v>
      </c>
    </row>
    <row r="24" spans="1:12" ht="25.5" x14ac:dyDescent="0.25">
      <c r="A24" s="2" t="s">
        <v>55</v>
      </c>
      <c r="B24" s="3" t="str">
        <f>INDEX(Puestos!E:E,MATCH($L24,Puestos!$A:$A,0))</f>
        <v>BOGOTA D.C.</v>
      </c>
      <c r="C24" s="3" t="str">
        <f>INDEX(Puestos!D:D,MATCH($L24,Puestos!$A:$A,0))</f>
        <v>BOGOTA D.C.</v>
      </c>
      <c r="D24" s="4" t="str">
        <f>INDEX(Puestos!B:B,MATCH($L24,Puestos!$A:$A,0))</f>
        <v>LAURA HERRERA</v>
      </c>
      <c r="E24" s="4" t="str">
        <f>INDEX(Puestos!C:C,MATCH($L24,Puestos!$A:$A,0))</f>
        <v>Carrera 89 B No. 54 F 20 Sur- Bosa Brasil</v>
      </c>
      <c r="F24" s="3">
        <v>3</v>
      </c>
      <c r="G24" s="5">
        <f>INDEX(Puestos!F:F,MATCH($L24,Puestos!$A:$A,0))</f>
        <v>4.6320538000000004</v>
      </c>
      <c r="H24" s="5">
        <f>INDEX(Puestos!G:G,MATCH($L24,Puestos!$A:$A,0))</f>
        <v>-74.187357500000005</v>
      </c>
      <c r="I24" s="3" t="str">
        <f>INDEX(Puestos!H:H,MATCH($L24,Puestos!$A:$A,0))</f>
        <v>Exacta</v>
      </c>
      <c r="J24" s="6" t="s">
        <v>13</v>
      </c>
      <c r="K24" s="3" t="s">
        <v>14</v>
      </c>
      <c r="L24" s="3" t="s">
        <v>56</v>
      </c>
    </row>
    <row r="25" spans="1:12" x14ac:dyDescent="0.25">
      <c r="A25" s="2" t="s">
        <v>57</v>
      </c>
      <c r="B25" s="3" t="str">
        <f>INDEX(Puestos!E:E,MATCH($L25,Puestos!$A:$A,0))</f>
        <v>CUNDINAMARCA</v>
      </c>
      <c r="C25" s="3" t="str">
        <f>INDEX(Puestos!D:D,MATCH($L25,Puestos!$A:$A,0))</f>
        <v>SOACHA</v>
      </c>
      <c r="D25" s="4" t="str">
        <f>INDEX(Puestos!B:B,MATCH($L25,Puestos!$A:$A,0))</f>
        <v>I.E. SAN MATEO SEDE A</v>
      </c>
      <c r="E25" s="4" t="str">
        <f>INDEX(Puestos!C:C,MATCH($L25,Puestos!$A:$A,0))</f>
        <v>CR. 5 B ESTE No. 26 - 04</v>
      </c>
      <c r="F25" s="3">
        <v>17</v>
      </c>
      <c r="G25" s="5">
        <f>INDEX(Puestos!F:F,MATCH($L25,Puestos!$A:$A,0))</f>
        <v>4.5791541000000002</v>
      </c>
      <c r="H25" s="5">
        <f>INDEX(Puestos!G:G,MATCH($L25,Puestos!$A:$A,0))</f>
        <v>-74.204447999999999</v>
      </c>
      <c r="I25" s="3" t="str">
        <f>INDEX(Puestos!H:H,MATCH($L25,Puestos!$A:$A,0))</f>
        <v>Exacta</v>
      </c>
      <c r="J25" s="6" t="s">
        <v>13</v>
      </c>
      <c r="K25" s="3" t="s">
        <v>14</v>
      </c>
      <c r="L25" s="3" t="s">
        <v>58</v>
      </c>
    </row>
    <row r="26" spans="1:12" x14ac:dyDescent="0.25">
      <c r="A26" s="2" t="s">
        <v>59</v>
      </c>
      <c r="B26" s="3" t="str">
        <f>INDEX(Puestos!E:E,MATCH($L26,Puestos!$A:$A,0))</f>
        <v>CUNDINAMARCA</v>
      </c>
      <c r="C26" s="3" t="str">
        <f>INDEX(Puestos!D:D,MATCH($L26,Puestos!$A:$A,0))</f>
        <v>SOACHA</v>
      </c>
      <c r="D26" s="4" t="str">
        <f>INDEX(Puestos!B:B,MATCH($L26,Puestos!$A:$A,0))</f>
        <v>COLISEO LEON XIII</v>
      </c>
      <c r="E26" s="4" t="str">
        <f>INDEX(Puestos!C:C,MATCH($L26,Puestos!$A:$A,0))</f>
        <v>CLL 48 No 9-05 LEON XIII</v>
      </c>
      <c r="F26" s="3">
        <v>17</v>
      </c>
      <c r="G26" s="5">
        <f>INDEX(Puestos!F:F,MATCH($L26,Puestos!$A:$A,0))</f>
        <v>4.5950452999999998</v>
      </c>
      <c r="H26" s="5">
        <f>INDEX(Puestos!G:G,MATCH($L26,Puestos!$A:$A,0))</f>
        <v>-74.194055500000005</v>
      </c>
      <c r="I26" s="3" t="str">
        <f>INDEX(Puestos!H:H,MATCH($L26,Puestos!$A:$A,0))</f>
        <v>Exacta</v>
      </c>
      <c r="J26" s="6" t="s">
        <v>13</v>
      </c>
      <c r="K26" s="3" t="s">
        <v>14</v>
      </c>
      <c r="L26" s="3" t="s">
        <v>60</v>
      </c>
    </row>
    <row r="27" spans="1:12" x14ac:dyDescent="0.25">
      <c r="A27" s="2" t="s">
        <v>61</v>
      </c>
      <c r="B27" s="3" t="str">
        <f>INDEX(Puestos!E:E,MATCH($L27,Puestos!$A:$A,0))</f>
        <v>BOGOTA D.C.</v>
      </c>
      <c r="C27" s="3" t="str">
        <f>INDEX(Puestos!D:D,MATCH($L27,Puestos!$A:$A,0))</f>
        <v>BOGOTA D.C.</v>
      </c>
      <c r="D27" s="4" t="str">
        <f>INDEX(Puestos!B:B,MATCH($L27,Puestos!$A:$A,0))</f>
        <v>MEDICINA LEGAL</v>
      </c>
      <c r="E27" s="4" t="str">
        <f>INDEX(Puestos!C:C,MATCH($L27,Puestos!$A:$A,0))</f>
        <v>KR12 A # 7 - 07</v>
      </c>
      <c r="F27" s="3">
        <v>9</v>
      </c>
      <c r="G27" s="5">
        <f>INDEX(Puestos!F:F,MATCH($L27,Puestos!$A:$A,0))</f>
        <v>4.5981490999999997</v>
      </c>
      <c r="H27" s="5">
        <f>INDEX(Puestos!G:G,MATCH($L27,Puestos!$A:$A,0))</f>
        <v>-74.082625300000004</v>
      </c>
      <c r="I27" s="3" t="str">
        <f>INDEX(Puestos!H:H,MATCH($L27,Puestos!$A:$A,0))</f>
        <v>Exacta</v>
      </c>
      <c r="J27" s="6" t="s">
        <v>13</v>
      </c>
      <c r="K27" s="3" t="s">
        <v>14</v>
      </c>
      <c r="L27" s="3" t="s">
        <v>62</v>
      </c>
    </row>
    <row r="28" spans="1:12" x14ac:dyDescent="0.25">
      <c r="A28" s="2" t="s">
        <v>63</v>
      </c>
      <c r="B28" s="3" t="str">
        <f>INDEX(Puestos!E:E,MATCH($L28,Puestos!$A:$A,0))</f>
        <v>BOGOTA D.C.</v>
      </c>
      <c r="C28" s="3" t="str">
        <f>INDEX(Puestos!D:D,MATCH($L28,Puestos!$A:$A,0))</f>
        <v>BOGOTA D.C.</v>
      </c>
      <c r="D28" s="4" t="str">
        <f>INDEX(Puestos!B:B,MATCH($L28,Puestos!$A:$A,0))</f>
        <v>EL PORTAL</v>
      </c>
      <c r="E28" s="4" t="str">
        <f>INDEX(Puestos!C:C,MATCH($L28,Puestos!$A:$A,0))</f>
        <v>CRA 3B. No. 30A - 42 SUR</v>
      </c>
      <c r="F28" s="3">
        <v>12</v>
      </c>
      <c r="G28" s="5">
        <f>INDEX(Puestos!F:F,MATCH($L28,Puestos!$A:$A,0))</f>
        <v>4.5659317000000001</v>
      </c>
      <c r="H28" s="5">
        <f>INDEX(Puestos!G:G,MATCH($L28,Puestos!$A:$A,0))</f>
        <v>-74.094819000000001</v>
      </c>
      <c r="I28" s="3" t="str">
        <f>INDEX(Puestos!H:H,MATCH($L28,Puestos!$A:$A,0))</f>
        <v>Exacta</v>
      </c>
      <c r="J28" s="6" t="s">
        <v>13</v>
      </c>
      <c r="K28" s="3" t="s">
        <v>14</v>
      </c>
      <c r="L28" s="3" t="s">
        <v>64</v>
      </c>
    </row>
    <row r="29" spans="1:12" x14ac:dyDescent="0.25">
      <c r="A29" s="2" t="s">
        <v>65</v>
      </c>
      <c r="B29" s="3" t="str">
        <f>INDEX(Puestos!E:E,MATCH($L29,Puestos!$A:$A,0))</f>
        <v>CUNDINAMARCA</v>
      </c>
      <c r="C29" s="3" t="str">
        <f>INDEX(Puestos!D:D,MATCH($L29,Puestos!$A:$A,0))</f>
        <v>SOACHA</v>
      </c>
      <c r="D29" s="4" t="str">
        <f>INDEX(Puestos!B:B,MATCH($L29,Puestos!$A:$A,0))</f>
        <v>I.E. SAN MATEO SEDE B</v>
      </c>
      <c r="E29" s="4" t="str">
        <f>INDEX(Puestos!C:C,MATCH($L29,Puestos!$A:$A,0))</f>
        <v>CR. 5 B ESTE No. 26 - 04</v>
      </c>
      <c r="F29" s="3">
        <v>15</v>
      </c>
      <c r="G29" s="5">
        <f>INDEX(Puestos!F:F,MATCH($L29,Puestos!$A:$A,0))</f>
        <v>4.5791541000000002</v>
      </c>
      <c r="H29" s="5">
        <f>INDEX(Puestos!G:G,MATCH($L29,Puestos!$A:$A,0))</f>
        <v>-74.204447999999999</v>
      </c>
      <c r="I29" s="3" t="str">
        <f>INDEX(Puestos!H:H,MATCH($L29,Puestos!$A:$A,0))</f>
        <v>Exacta</v>
      </c>
      <c r="J29" s="6" t="s">
        <v>13</v>
      </c>
      <c r="K29" s="3" t="s">
        <v>14</v>
      </c>
      <c r="L29" s="3" t="s">
        <v>66</v>
      </c>
    </row>
    <row r="30" spans="1:12" ht="25.5" x14ac:dyDescent="0.25">
      <c r="A30" s="2" t="s">
        <v>67</v>
      </c>
      <c r="B30" s="3" t="str">
        <f>INDEX(Puestos!E:E,MATCH($L30,Puestos!$A:$A,0))</f>
        <v>CUNDINAMARCA</v>
      </c>
      <c r="C30" s="3" t="str">
        <f>INDEX(Puestos!D:D,MATCH($L30,Puestos!$A:$A,0))</f>
        <v>SOACHA</v>
      </c>
      <c r="D30" s="4" t="str">
        <f>INDEX(Puestos!B:B,MATCH($L30,Puestos!$A:$A,0))</f>
        <v>CENTRO COMERCIAL VENTURA TERREROS</v>
      </c>
      <c r="E30" s="4" t="str">
        <f>INDEX(Puestos!C:C,MATCH($L30,Puestos!$A:$A,0))</f>
        <v>CRA 1 NRO 38 89 SOACHA</v>
      </c>
      <c r="F30" s="3">
        <v>25</v>
      </c>
      <c r="G30" s="5">
        <f>INDEX(Puestos!F:F,MATCH($L30,Puestos!$A:$A,0))</f>
        <v>4.5884600000000004</v>
      </c>
      <c r="H30" s="5">
        <f>INDEX(Puestos!G:G,MATCH($L30,Puestos!$A:$A,0))</f>
        <v>-74.195040800000001</v>
      </c>
      <c r="I30" s="3" t="str">
        <f>INDEX(Puestos!H:H,MATCH($L30,Puestos!$A:$A,0))</f>
        <v>Exacta</v>
      </c>
      <c r="J30" s="6" t="s">
        <v>13</v>
      </c>
      <c r="K30" s="3" t="s">
        <v>14</v>
      </c>
      <c r="L30" s="3" t="s">
        <v>46</v>
      </c>
    </row>
    <row r="31" spans="1:12" x14ac:dyDescent="0.25">
      <c r="A31" s="2" t="s">
        <v>68</v>
      </c>
      <c r="B31" s="3" t="str">
        <f>INDEX(Puestos!E:E,MATCH($L31,Puestos!$A:$A,0))</f>
        <v>BOGOTA D.C.</v>
      </c>
      <c r="C31" s="3" t="str">
        <f>INDEX(Puestos!D:D,MATCH($L31,Puestos!$A:$A,0))</f>
        <v>BOGOTA D.C.</v>
      </c>
      <c r="D31" s="4" t="str">
        <f>INDEX(Puestos!B:B,MATCH($L31,Puestos!$A:$A,0))</f>
        <v>MODELIA REAL</v>
      </c>
      <c r="E31" s="4" t="str">
        <f>INDEX(Puestos!C:C,MATCH($L31,Puestos!$A:$A,0))</f>
        <v>CLL 24 D # 82-13 o CRA 82 # 24C- 29</v>
      </c>
      <c r="F31" s="3">
        <v>16</v>
      </c>
      <c r="G31" s="5">
        <f>INDEX(Puestos!F:F,MATCH($L31,Puestos!$A:$A,0))</f>
        <v>4.6708499999999997</v>
      </c>
      <c r="H31" s="5">
        <f>INDEX(Puestos!G:G,MATCH($L31,Puestos!$A:$A,0))</f>
        <v>-74.121207400000003</v>
      </c>
      <c r="I31" s="3" t="str">
        <f>INDEX(Puestos!H:H,MATCH($L31,Puestos!$A:$A,0))</f>
        <v>Exacta</v>
      </c>
      <c r="J31" s="6" t="s">
        <v>13</v>
      </c>
      <c r="K31" s="3" t="s">
        <v>14</v>
      </c>
      <c r="L31" s="3" t="s">
        <v>69</v>
      </c>
    </row>
    <row r="32" spans="1:12" x14ac:dyDescent="0.25">
      <c r="A32" s="2" t="s">
        <v>70</v>
      </c>
      <c r="B32" s="3" t="str">
        <f>INDEX(Puestos!E:E,MATCH($L32,Puestos!$A:$A,0))</f>
        <v>CUNDINAMARCA</v>
      </c>
      <c r="C32" s="3" t="str">
        <f>INDEX(Puestos!D:D,MATCH($L32,Puestos!$A:$A,0))</f>
        <v>SOACHA</v>
      </c>
      <c r="D32" s="4" t="str">
        <f>INDEX(Puestos!B:B,MATCH($L32,Puestos!$A:$A,0))</f>
        <v>I.E. SAN MATEO SEDE A</v>
      </c>
      <c r="E32" s="4" t="str">
        <f>INDEX(Puestos!C:C,MATCH($L32,Puestos!$A:$A,0))</f>
        <v>CR. 5 B ESTE No. 26 - 04</v>
      </c>
      <c r="F32" s="3">
        <v>21</v>
      </c>
      <c r="G32" s="5">
        <f>INDEX(Puestos!F:F,MATCH($L32,Puestos!$A:$A,0))</f>
        <v>4.5791541000000002</v>
      </c>
      <c r="H32" s="5">
        <f>INDEX(Puestos!G:G,MATCH($L32,Puestos!$A:$A,0))</f>
        <v>-74.204447999999999</v>
      </c>
      <c r="I32" s="3" t="str">
        <f>INDEX(Puestos!H:H,MATCH($L32,Puestos!$A:$A,0))</f>
        <v>Exacta</v>
      </c>
      <c r="J32" s="6" t="s">
        <v>13</v>
      </c>
      <c r="K32" s="3" t="s">
        <v>14</v>
      </c>
      <c r="L32" s="3" t="s">
        <v>58</v>
      </c>
    </row>
    <row r="33" spans="1:12" x14ac:dyDescent="0.25">
      <c r="A33" s="2" t="s">
        <v>71</v>
      </c>
      <c r="B33" s="3" t="str">
        <f>INDEX(Puestos!E:E,MATCH($L33,Puestos!$A:$A,0))</f>
        <v>CUNDINAMARCA</v>
      </c>
      <c r="C33" s="3" t="str">
        <f>INDEX(Puestos!D:D,MATCH($L33,Puestos!$A:$A,0))</f>
        <v>SOACHA</v>
      </c>
      <c r="D33" s="4" t="str">
        <f>INDEX(Puestos!B:B,MATCH($L33,Puestos!$A:$A,0))</f>
        <v>COLISEO GENERAL SANTANDER</v>
      </c>
      <c r="E33" s="4" t="str">
        <f>INDEX(Puestos!C:C,MATCH($L33,Puestos!$A:$A,0))</f>
        <v>CLL. 15 NO. 8 - 53</v>
      </c>
      <c r="F33" s="3">
        <v>16</v>
      </c>
      <c r="G33" s="5">
        <f>INDEX(Puestos!F:F,MATCH($L33,Puestos!$A:$A,0))</f>
        <v>4.5836645000000003</v>
      </c>
      <c r="H33" s="5">
        <f>INDEX(Puestos!G:G,MATCH($L33,Puestos!$A:$A,0))</f>
        <v>-74.217831200000006</v>
      </c>
      <c r="I33" s="3" t="str">
        <f>INDEX(Puestos!H:H,MATCH($L33,Puestos!$A:$A,0))</f>
        <v>Exacta</v>
      </c>
      <c r="J33" s="6" t="s">
        <v>13</v>
      </c>
      <c r="K33" s="3" t="s">
        <v>14</v>
      </c>
      <c r="L33" s="3" t="s">
        <v>72</v>
      </c>
    </row>
    <row r="34" spans="1:12" ht="25.5" x14ac:dyDescent="0.25">
      <c r="A34" s="2" t="s">
        <v>73</v>
      </c>
      <c r="B34" s="3" t="str">
        <f>INDEX(Puestos!E:E,MATCH($L34,Puestos!$A:$A,0))</f>
        <v>CUNDINAMARCA</v>
      </c>
      <c r="C34" s="3" t="str">
        <f>INDEX(Puestos!D:D,MATCH($L34,Puestos!$A:$A,0))</f>
        <v>SOACHA</v>
      </c>
      <c r="D34" s="4" t="str">
        <f>INDEX(Puestos!B:B,MATCH($L34,Puestos!$A:$A,0))</f>
        <v>IE GENERAL SANTANDER SD MI TIERNA EDAD</v>
      </c>
      <c r="E34" s="4" t="str">
        <f>INDEX(Puestos!C:C,MATCH($L34,Puestos!$A:$A,0))</f>
        <v>CLL. 14 NO. 8 - 25 CENTRO</v>
      </c>
      <c r="F34" s="3">
        <v>7</v>
      </c>
      <c r="G34" s="5">
        <f>INDEX(Puestos!F:F,MATCH($L34,Puestos!$A:$A,0))</f>
        <v>4.5831970999999996</v>
      </c>
      <c r="H34" s="5">
        <f>INDEX(Puestos!G:G,MATCH($L34,Puestos!$A:$A,0))</f>
        <v>-74.218611499999994</v>
      </c>
      <c r="I34" s="3" t="str">
        <f>INDEX(Puestos!H:H,MATCH($L34,Puestos!$A:$A,0))</f>
        <v>Exacta</v>
      </c>
      <c r="J34" s="6" t="s">
        <v>13</v>
      </c>
      <c r="K34" s="3" t="s">
        <v>14</v>
      </c>
      <c r="L34" s="3" t="s">
        <v>74</v>
      </c>
    </row>
    <row r="35" spans="1:12" x14ac:dyDescent="0.25">
      <c r="A35" s="2" t="s">
        <v>75</v>
      </c>
      <c r="B35" s="3" t="str">
        <f>INDEX(Puestos!E:E,MATCH($L35,Puestos!$A:$A,0))</f>
        <v>CUNDINAMARCA</v>
      </c>
      <c r="C35" s="3" t="str">
        <f>INDEX(Puestos!D:D,MATCH($L35,Puestos!$A:$A,0))</f>
        <v>SOACHA</v>
      </c>
      <c r="D35" s="4" t="str">
        <f>INDEX(Puestos!B:B,MATCH($L35,Puestos!$A:$A,0))</f>
        <v>I.E. LEON XIII - CHILOE</v>
      </c>
      <c r="E35" s="4" t="str">
        <f>INDEX(Puestos!C:C,MATCH($L35,Puestos!$A:$A,0))</f>
        <v>DIAG. 28 No. 28 - 99 CIUDAD VERDE</v>
      </c>
      <c r="F35" s="3">
        <v>22</v>
      </c>
      <c r="G35" s="5">
        <f>INDEX(Puestos!F:F,MATCH($L35,Puestos!$A:$A,0))</f>
        <v>4.6049632999999996</v>
      </c>
      <c r="H35" s="5">
        <f>INDEX(Puestos!G:G,MATCH($L35,Puestos!$A:$A,0))</f>
        <v>-74.214160300000003</v>
      </c>
      <c r="I35" s="3" t="str">
        <f>INDEX(Puestos!H:H,MATCH($L35,Puestos!$A:$A,0))</f>
        <v>Exacta</v>
      </c>
      <c r="J35" s="6" t="s">
        <v>13</v>
      </c>
      <c r="K35" s="3" t="s">
        <v>14</v>
      </c>
      <c r="L35" s="3" t="s">
        <v>44</v>
      </c>
    </row>
    <row r="36" spans="1:12" x14ac:dyDescent="0.25">
      <c r="A36" s="2" t="s">
        <v>76</v>
      </c>
      <c r="B36" s="3" t="str">
        <f>INDEX(Puestos!E:E,MATCH($L36,Puestos!$A:$A,0))</f>
        <v>BOGOTA D.C.</v>
      </c>
      <c r="C36" s="3" t="str">
        <f>INDEX(Puestos!D:D,MATCH($L36,Puestos!$A:$A,0))</f>
        <v>BOGOTA D.C.</v>
      </c>
      <c r="D36" s="4" t="str">
        <f>INDEX(Puestos!B:B,MATCH($L36,Puestos!$A:$A,0))</f>
        <v>MEDICINA LEGAL</v>
      </c>
      <c r="E36" s="4" t="str">
        <f>INDEX(Puestos!C:C,MATCH($L36,Puestos!$A:$A,0))</f>
        <v>KR12 A # 7 - 07</v>
      </c>
      <c r="F36" s="3">
        <v>6</v>
      </c>
      <c r="G36" s="5">
        <f>INDEX(Puestos!F:F,MATCH($L36,Puestos!$A:$A,0))</f>
        <v>4.5981490999999997</v>
      </c>
      <c r="H36" s="5">
        <f>INDEX(Puestos!G:G,MATCH($L36,Puestos!$A:$A,0))</f>
        <v>-74.082625300000004</v>
      </c>
      <c r="I36" s="3" t="str">
        <f>INDEX(Puestos!H:H,MATCH($L36,Puestos!$A:$A,0))</f>
        <v>Exacta</v>
      </c>
      <c r="J36" s="6" t="s">
        <v>13</v>
      </c>
      <c r="K36" s="3" t="s">
        <v>14</v>
      </c>
      <c r="L36" s="3" t="s">
        <v>62</v>
      </c>
    </row>
    <row r="37" spans="1:12" x14ac:dyDescent="0.25">
      <c r="A37" s="2" t="s">
        <v>77</v>
      </c>
      <c r="B37" s="3" t="str">
        <f>INDEX(Puestos!E:E,MATCH($L37,Puestos!$A:$A,0))</f>
        <v>VALLE</v>
      </c>
      <c r="C37" s="3" t="str">
        <f>INDEX(Puestos!D:D,MATCH($L37,Puestos!$A:$A,0))</f>
        <v>CALI</v>
      </c>
      <c r="D37" s="4" t="str">
        <f>INDEX(Puestos!B:B,MATCH($L37,Puestos!$A:$A,0))</f>
        <v>ESCUELA RAUL SILVA HOLGUIN</v>
      </c>
      <c r="E37" s="4" t="str">
        <f>INDEX(Puestos!C:C,MATCH($L37,Puestos!$A:$A,0))</f>
        <v>DG 26K #T83-24</v>
      </c>
      <c r="F37" s="3">
        <v>29</v>
      </c>
      <c r="G37" s="5">
        <f>INDEX(Puestos!F:F,MATCH($L37,Puestos!$A:$A,0))</f>
        <v>3.4275856999999998</v>
      </c>
      <c r="H37" s="5">
        <f>INDEX(Puestos!G:G,MATCH($L37,Puestos!$A:$A,0))</f>
        <v>-76.480941900000005</v>
      </c>
      <c r="I37" s="3" t="str">
        <f>INDEX(Puestos!H:H,MATCH($L37,Puestos!$A:$A,0))</f>
        <v>Exacta</v>
      </c>
      <c r="J37" s="6" t="s">
        <v>13</v>
      </c>
      <c r="K37" s="3" t="s">
        <v>14</v>
      </c>
      <c r="L37" s="3" t="s">
        <v>78</v>
      </c>
    </row>
    <row r="38" spans="1:12" x14ac:dyDescent="0.25">
      <c r="A38" s="2" t="s">
        <v>79</v>
      </c>
      <c r="B38" s="3" t="str">
        <f>INDEX(Puestos!E:E,MATCH($L38,Puestos!$A:$A,0))</f>
        <v>CUNDINAMARCA</v>
      </c>
      <c r="C38" s="3" t="str">
        <f>INDEX(Puestos!D:D,MATCH($L38,Puestos!$A:$A,0))</f>
        <v>SIBATE</v>
      </c>
      <c r="D38" s="4" t="str">
        <f>INDEX(Puestos!B:B,MATCH($L38,Puestos!$A:$A,0))</f>
        <v>IED GRAL SANTANDER SEDE BTO</v>
      </c>
      <c r="E38" s="4" t="str">
        <f>INDEX(Puestos!C:C,MATCH($L38,Puestos!$A:$A,0))</f>
        <v>CARRERA 7 No. 11 -30</v>
      </c>
      <c r="F38" s="3">
        <v>18</v>
      </c>
      <c r="G38" s="5">
        <f>INDEX(Puestos!F:F,MATCH($L38,Puestos!$A:$A,0))</f>
        <v>4.4933690000000004</v>
      </c>
      <c r="H38" s="5">
        <f>INDEX(Puestos!G:G,MATCH($L38,Puestos!$A:$A,0))</f>
        <v>-74.257975099999996</v>
      </c>
      <c r="I38" s="3" t="str">
        <f>INDEX(Puestos!H:H,MATCH($L38,Puestos!$A:$A,0))</f>
        <v>Aproximada</v>
      </c>
      <c r="J38" s="6" t="s">
        <v>13</v>
      </c>
      <c r="K38" s="3" t="s">
        <v>14</v>
      </c>
      <c r="L38" s="3" t="s">
        <v>80</v>
      </c>
    </row>
    <row r="39" spans="1:12" x14ac:dyDescent="0.25">
      <c r="A39" s="2" t="s">
        <v>81</v>
      </c>
      <c r="B39" s="3" t="str">
        <f>INDEX(Puestos!E:E,MATCH($L39,Puestos!$A:$A,0))</f>
        <v>ANTIOQUIA</v>
      </c>
      <c r="C39" s="3" t="str">
        <f>INDEX(Puestos!D:D,MATCH($L39,Puestos!$A:$A,0))</f>
        <v>MEDELLIN</v>
      </c>
      <c r="D39" s="4" t="str">
        <f>INDEX(Puestos!B:B,MATCH($L39,Puestos!$A:$A,0))</f>
        <v>I.E. FRANCISCO MIRANDA</v>
      </c>
      <c r="E39" s="4" t="str">
        <f>INDEX(Puestos!C:C,MATCH($L39,Puestos!$A:$A,0))</f>
        <v>KR 51C # 79-56</v>
      </c>
      <c r="F39" s="3">
        <v>14</v>
      </c>
      <c r="G39" s="5">
        <f>INDEX(Puestos!F:F,MATCH($L39,Puestos!$A:$A,0))</f>
        <v>6.2740533000000003</v>
      </c>
      <c r="H39" s="5">
        <f>INDEX(Puestos!G:G,MATCH($L39,Puestos!$A:$A,0))</f>
        <v>-75.563604499999997</v>
      </c>
      <c r="I39" s="3" t="str">
        <f>INDEX(Puestos!H:H,MATCH($L39,Puestos!$A:$A,0))</f>
        <v>Exacta</v>
      </c>
      <c r="J39" s="6" t="s">
        <v>13</v>
      </c>
      <c r="K39" s="3" t="s">
        <v>14</v>
      </c>
      <c r="L39" s="3" t="s">
        <v>82</v>
      </c>
    </row>
    <row r="40" spans="1:12" x14ac:dyDescent="0.25">
      <c r="A40" s="2" t="s">
        <v>83</v>
      </c>
      <c r="B40" s="3" t="str">
        <f>INDEX(Puestos!E:E,MATCH($L40,Puestos!$A:$A,0))</f>
        <v>VALLE</v>
      </c>
      <c r="C40" s="3" t="str">
        <f>INDEX(Puestos!D:D,MATCH($L40,Puestos!$A:$A,0))</f>
        <v>YUMBO</v>
      </c>
      <c r="D40" s="4" t="str">
        <f>INDEX(Puestos!B:B,MATCH($L40,Puestos!$A:$A,0))</f>
        <v>I.E. FRANCISCO JOSE DE CALDAS</v>
      </c>
      <c r="E40" s="4" t="str">
        <f>INDEX(Puestos!C:C,MATCH($L40,Puestos!$A:$A,0))</f>
        <v>CLLE 8N NUM 16-76 LLERAS</v>
      </c>
      <c r="F40" s="3">
        <v>1</v>
      </c>
      <c r="G40" s="5">
        <f>INDEX(Puestos!F:F,MATCH($L40,Puestos!$A:$A,0))</f>
        <v>3.5867274999999998</v>
      </c>
      <c r="H40" s="5">
        <f>INDEX(Puestos!G:G,MATCH($L40,Puestos!$A:$A,0))</f>
        <v>-76.493040800000003</v>
      </c>
      <c r="I40" s="3" t="str">
        <f>INDEX(Puestos!H:H,MATCH($L40,Puestos!$A:$A,0))</f>
        <v>Revisar</v>
      </c>
      <c r="J40" s="6" t="s">
        <v>13</v>
      </c>
      <c r="K40" s="3" t="s">
        <v>14</v>
      </c>
      <c r="L40" s="3" t="s">
        <v>84</v>
      </c>
    </row>
    <row r="41" spans="1:12" x14ac:dyDescent="0.25">
      <c r="A41" s="2" t="s">
        <v>85</v>
      </c>
      <c r="B41" s="3" t="str">
        <f>INDEX(Puestos!E:E,MATCH($L41,Puestos!$A:$A,0))</f>
        <v>CUNDINAMARCA</v>
      </c>
      <c r="C41" s="3" t="str">
        <f>INDEX(Puestos!D:D,MATCH($L41,Puestos!$A:$A,0))</f>
        <v>SOACHA</v>
      </c>
      <c r="D41" s="4" t="str">
        <f>INDEX(Puestos!B:B,MATCH($L41,Puestos!$A:$A,0))</f>
        <v>I.E. CIUDAD LATINA</v>
      </c>
      <c r="E41" s="4" t="str">
        <f>INDEX(Puestos!C:C,MATCH($L41,Puestos!$A:$A,0))</f>
        <v>CLL. 37 A SUR No. 15 i - 21</v>
      </c>
      <c r="F41" s="3">
        <v>25</v>
      </c>
      <c r="G41" s="5">
        <f>INDEX(Puestos!F:F,MATCH($L41,Puestos!$A:$A,0))</f>
        <v>4.5756570999999999</v>
      </c>
      <c r="H41" s="5">
        <f>INDEX(Puestos!G:G,MATCH($L41,Puestos!$A:$A,0))</f>
        <v>-74.2456952</v>
      </c>
      <c r="I41" s="3" t="str">
        <f>INDEX(Puestos!H:H,MATCH($L41,Puestos!$A:$A,0))</f>
        <v>Aproximada</v>
      </c>
      <c r="J41" s="6" t="s">
        <v>13</v>
      </c>
      <c r="K41" s="3" t="s">
        <v>14</v>
      </c>
      <c r="L41" s="3" t="s">
        <v>86</v>
      </c>
    </row>
    <row r="42" spans="1:12" x14ac:dyDescent="0.25">
      <c r="A42" s="2" t="s">
        <v>87</v>
      </c>
      <c r="B42" s="3" t="str">
        <f>INDEX(Puestos!E:E,MATCH($L42,Puestos!$A:$A,0))</f>
        <v>BOGOTA D.C.</v>
      </c>
      <c r="C42" s="3" t="str">
        <f>INDEX(Puestos!D:D,MATCH($L42,Puestos!$A:$A,0))</f>
        <v>BOGOTA D.C.</v>
      </c>
      <c r="D42" s="4" t="str">
        <f>INDEX(Puestos!B:B,MATCH($L42,Puestos!$A:$A,0))</f>
        <v>COLEGIO COLSUBSIDIO CHICALA</v>
      </c>
      <c r="E42" s="4" t="str">
        <f>INDEX(Puestos!C:C,MATCH($L42,Puestos!$A:$A,0))</f>
        <v>CRA 87 No 53C-26 SUR</v>
      </c>
      <c r="F42" s="3">
        <v>21</v>
      </c>
      <c r="G42" s="5">
        <f>INDEX(Puestos!F:F,MATCH($L42,Puestos!$A:$A,0))</f>
        <v>4.6249650000000004</v>
      </c>
      <c r="H42" s="5">
        <f>INDEX(Puestos!G:G,MATCH($L42,Puestos!$A:$A,0))</f>
        <v>-74.180923399999998</v>
      </c>
      <c r="I42" s="3" t="str">
        <f>INDEX(Puestos!H:H,MATCH($L42,Puestos!$A:$A,0))</f>
        <v>Exacta</v>
      </c>
      <c r="J42" s="6" t="s">
        <v>13</v>
      </c>
      <c r="K42" s="3" t="s">
        <v>14</v>
      </c>
      <c r="L42" s="3" t="s">
        <v>88</v>
      </c>
    </row>
    <row r="43" spans="1:12" x14ac:dyDescent="0.25">
      <c r="A43" s="2" t="s">
        <v>89</v>
      </c>
      <c r="B43" s="3" t="str">
        <f>INDEX(Puestos!E:E,MATCH($L43,Puestos!$A:$A,0))</f>
        <v>CUNDINAMARCA</v>
      </c>
      <c r="C43" s="3" t="str">
        <f>INDEX(Puestos!D:D,MATCH($L43,Puestos!$A:$A,0))</f>
        <v>SOACHA</v>
      </c>
      <c r="D43" s="4" t="str">
        <f>INDEX(Puestos!B:B,MATCH($L43,Puestos!$A:$A,0))</f>
        <v>CENTRO COMERCIAL MERCURIO</v>
      </c>
      <c r="E43" s="4" t="str">
        <f>INDEX(Puestos!C:C,MATCH($L43,Puestos!$A:$A,0))</f>
        <v>CRA 7 NRO 32 35</v>
      </c>
      <c r="F43" s="3">
        <v>6</v>
      </c>
      <c r="G43" s="5">
        <f>INDEX(Puestos!F:F,MATCH($L43,Puestos!$A:$A,0))</f>
        <v>4.5881616000000003</v>
      </c>
      <c r="H43" s="5">
        <f>INDEX(Puestos!G:G,MATCH($L43,Puestos!$A:$A,0))</f>
        <v>-74.203519099999994</v>
      </c>
      <c r="I43" s="3" t="str">
        <f>INDEX(Puestos!H:H,MATCH($L43,Puestos!$A:$A,0))</f>
        <v>Exacta</v>
      </c>
      <c r="J43" s="6" t="s">
        <v>13</v>
      </c>
      <c r="K43" s="3" t="s">
        <v>14</v>
      </c>
      <c r="L43" s="3" t="s">
        <v>23</v>
      </c>
    </row>
    <row r="44" spans="1:12" ht="25.5" x14ac:dyDescent="0.25">
      <c r="A44" s="2" t="s">
        <v>90</v>
      </c>
      <c r="B44" s="3" t="str">
        <f>INDEX(Puestos!E:E,MATCH($L44,Puestos!$A:$A,0))</f>
        <v>CUNDINAMARCA</v>
      </c>
      <c r="C44" s="3" t="str">
        <f>INDEX(Puestos!D:D,MATCH($L44,Puestos!$A:$A,0))</f>
        <v>SOACHA</v>
      </c>
      <c r="D44" s="4" t="str">
        <f>INDEX(Puestos!B:B,MATCH($L44,Puestos!$A:$A,0))</f>
        <v>IE LUIS C. GALAN-SD VILLAS DE CASALOMA</v>
      </c>
      <c r="E44" s="4" t="str">
        <f>INDEX(Puestos!C:C,MATCH($L44,Puestos!$A:$A,0))</f>
        <v>CLL 59 B No 15 - 60 E</v>
      </c>
      <c r="F44" s="3">
        <v>2</v>
      </c>
      <c r="G44" s="5">
        <f>INDEX(Puestos!F:F,MATCH($L44,Puestos!$A:$A,0))</f>
        <v>4.5880355000000002</v>
      </c>
      <c r="H44" s="5">
        <f>INDEX(Puestos!G:G,MATCH($L44,Puestos!$A:$A,0))</f>
        <v>-74.182566600000001</v>
      </c>
      <c r="I44" s="3" t="str">
        <f>INDEX(Puestos!H:H,MATCH($L44,Puestos!$A:$A,0))</f>
        <v>Exacta</v>
      </c>
      <c r="J44" s="6" t="s">
        <v>13</v>
      </c>
      <c r="K44" s="3" t="s">
        <v>14</v>
      </c>
      <c r="L44" s="3" t="s">
        <v>91</v>
      </c>
    </row>
    <row r="45" spans="1:12" x14ac:dyDescent="0.25">
      <c r="A45" s="2" t="s">
        <v>92</v>
      </c>
      <c r="B45" s="3" t="str">
        <f>INDEX(Puestos!E:E,MATCH($L45,Puestos!$A:$A,0))</f>
        <v>CUNDINAMARCA</v>
      </c>
      <c r="C45" s="3" t="str">
        <f>INDEX(Puestos!D:D,MATCH($L45,Puestos!$A:$A,0))</f>
        <v>SOACHA</v>
      </c>
      <c r="D45" s="4" t="str">
        <f>INDEX(Puestos!B:B,MATCH($L45,Puestos!$A:$A,0))</f>
        <v>I.E. SOACHA AVANZA LA UNIDAD</v>
      </c>
      <c r="E45" s="4" t="str">
        <f>INDEX(Puestos!C:C,MATCH($L45,Puestos!$A:$A,0))</f>
        <v>CRA 38 No 14 - 72</v>
      </c>
      <c r="F45" s="3">
        <v>23</v>
      </c>
      <c r="G45" s="5">
        <f>INDEX(Puestos!F:F,MATCH($L45,Puestos!$A:$A,0))</f>
        <v>4.6099952999999996</v>
      </c>
      <c r="H45" s="5">
        <f>INDEX(Puestos!G:G,MATCH($L45,Puestos!$A:$A,0))</f>
        <v>-74.223867299999995</v>
      </c>
      <c r="I45" s="3" t="str">
        <f>INDEX(Puestos!H:H,MATCH($L45,Puestos!$A:$A,0))</f>
        <v>Exacta</v>
      </c>
      <c r="J45" s="6" t="s">
        <v>13</v>
      </c>
      <c r="K45" s="3" t="s">
        <v>14</v>
      </c>
      <c r="L45" s="3" t="s">
        <v>15</v>
      </c>
    </row>
    <row r="46" spans="1:12" x14ac:dyDescent="0.25">
      <c r="A46" s="2" t="s">
        <v>93</v>
      </c>
      <c r="B46" s="3" t="str">
        <f>INDEX(Puestos!E:E,MATCH($L46,Puestos!$A:$A,0))</f>
        <v>CONSULADOS</v>
      </c>
      <c r="C46" s="3" t="str">
        <f>INDEX(Puestos!D:D,MATCH($L46,Puestos!$A:$A,0))</f>
        <v>ESPAÑA</v>
      </c>
      <c r="D46" s="4" t="str">
        <f>INDEX(Puestos!B:B,MATCH($L46,Puestos!$A:$A,0))</f>
        <v>Madrid - Consulado</v>
      </c>
      <c r="E46" s="4" t="str">
        <f>INDEX(Puestos!C:C,MATCH($L46,Puestos!$A:$A,0))</f>
        <v>(sin dirección en la consulta)</v>
      </c>
      <c r="F46" s="3">
        <v>66</v>
      </c>
      <c r="G46" s="5">
        <f>INDEX(Puestos!F:F,MATCH($L46,Puestos!$A:$A,0))</f>
        <v>40.417749999999998</v>
      </c>
      <c r="H46" s="5">
        <f>INDEX(Puestos!G:G,MATCH($L46,Puestos!$A:$A,0))</f>
        <v>-3.6996600000000002</v>
      </c>
      <c r="I46" s="3" t="str">
        <f>INDEX(Puestos!H:H,MATCH($L46,Puestos!$A:$A,0))</f>
        <v>Aproximada</v>
      </c>
      <c r="J46" s="6" t="s">
        <v>13</v>
      </c>
      <c r="K46" s="3" t="s">
        <v>14</v>
      </c>
      <c r="L46" s="3" t="s">
        <v>94</v>
      </c>
    </row>
    <row r="47" spans="1:12" ht="25.5" x14ac:dyDescent="0.25">
      <c r="A47" s="2" t="s">
        <v>95</v>
      </c>
      <c r="B47" s="3" t="str">
        <f>INDEX(Puestos!E:E,MATCH($L47,Puestos!$A:$A,0))</f>
        <v>CUNDINAMARCA</v>
      </c>
      <c r="C47" s="3" t="str">
        <f>INDEX(Puestos!D:D,MATCH($L47,Puestos!$A:$A,0))</f>
        <v>SOACHA</v>
      </c>
      <c r="D47" s="4" t="str">
        <f>INDEX(Puestos!B:B,MATCH($L47,Puestos!$A:$A,0))</f>
        <v>I. E. EUGENIO DIAZ CASTRO SEDE PRIMARIA</v>
      </c>
      <c r="E47" s="4" t="str">
        <f>INDEX(Puestos!C:C,MATCH($L47,Puestos!$A:$A,0))</f>
        <v>VEREDA EL CHARQUITO</v>
      </c>
      <c r="F47" s="3">
        <v>3</v>
      </c>
      <c r="G47" s="5">
        <f>INDEX(Puestos!F:F,MATCH($L47,Puestos!$A:$A,0))</f>
        <v>4.5439600000000002</v>
      </c>
      <c r="H47" s="5">
        <f>INDEX(Puestos!G:G,MATCH($L47,Puestos!$A:$A,0))</f>
        <v>-74.275390000000002</v>
      </c>
      <c r="I47" s="3" t="str">
        <f>INDEX(Puestos!H:H,MATCH($L47,Puestos!$A:$A,0))</f>
        <v>Aproximada</v>
      </c>
      <c r="J47" s="6" t="s">
        <v>13</v>
      </c>
      <c r="K47" s="3" t="s">
        <v>14</v>
      </c>
      <c r="L47" s="3" t="s">
        <v>96</v>
      </c>
    </row>
    <row r="48" spans="1:12" ht="25.5" x14ac:dyDescent="0.25">
      <c r="A48" s="2" t="s">
        <v>97</v>
      </c>
      <c r="B48" s="3" t="str">
        <f>INDEX(Puestos!E:E,MATCH($L48,Puestos!$A:$A,0))</f>
        <v>CUNDINAMARCA</v>
      </c>
      <c r="C48" s="3" t="str">
        <f>INDEX(Puestos!D:D,MATCH($L48,Puestos!$A:$A,0))</f>
        <v>EL ROSAL</v>
      </c>
      <c r="D48" s="4" t="str">
        <f>INDEX(Puestos!B:B,MATCH($L48,Puestos!$A:$A,0))</f>
        <v>MEGA COLEGIO</v>
      </c>
      <c r="E48" s="4" t="str">
        <f>INDEX(Puestos!C:C,MATCH($L48,Puestos!$A:$A,0))</f>
        <v>CALLE 13A ENTRE CRA 6 Y 8 BARRIO SAN CARLOS</v>
      </c>
      <c r="F48" s="3">
        <v>20</v>
      </c>
      <c r="G48" s="5">
        <f>INDEX(Puestos!F:F,MATCH($L48,Puestos!$A:$A,0))</f>
        <v>4.8546287000000001</v>
      </c>
      <c r="H48" s="5">
        <f>INDEX(Puestos!G:G,MATCH($L48,Puestos!$A:$A,0))</f>
        <v>-74.260870400000002</v>
      </c>
      <c r="I48" s="3" t="str">
        <f>INDEX(Puestos!H:H,MATCH($L48,Puestos!$A:$A,0))</f>
        <v>Aproximada</v>
      </c>
      <c r="J48" s="6" t="s">
        <v>13</v>
      </c>
      <c r="K48" s="3" t="s">
        <v>14</v>
      </c>
      <c r="L48" s="3" t="s">
        <v>98</v>
      </c>
    </row>
    <row r="49" spans="1:12" x14ac:dyDescent="0.25">
      <c r="A49" s="2" t="s">
        <v>99</v>
      </c>
      <c r="B49" s="3" t="str">
        <f>INDEX(Puestos!E:E,MATCH($L49,Puestos!$A:$A,0))</f>
        <v>BOGOTA D.C.</v>
      </c>
      <c r="C49" s="3" t="str">
        <f>INDEX(Puestos!D:D,MATCH($L49,Puestos!$A:$A,0))</f>
        <v>BOGOTA D.C.</v>
      </c>
      <c r="D49" s="4" t="str">
        <f>INDEX(Puestos!B:B,MATCH($L49,Puestos!$A:$A,0))</f>
        <v>LA PRADERA</v>
      </c>
      <c r="E49" s="4" t="str">
        <f>INDEX(Puestos!C:C,MATCH($L49,Puestos!$A:$A,0))</f>
        <v>CLL 4 B # 65 - 31</v>
      </c>
      <c r="F49" s="3">
        <v>7</v>
      </c>
      <c r="G49" s="5">
        <f>INDEX(Puestos!F:F,MATCH($L49,Puestos!$A:$A,0))</f>
        <v>4.6238951999999998</v>
      </c>
      <c r="H49" s="5">
        <f>INDEX(Puestos!G:G,MATCH($L49,Puestos!$A:$A,0))</f>
        <v>-74.122069100000004</v>
      </c>
      <c r="I49" s="3" t="str">
        <f>INDEX(Puestos!H:H,MATCH($L49,Puestos!$A:$A,0))</f>
        <v>Exacta</v>
      </c>
      <c r="J49" s="6" t="s">
        <v>13</v>
      </c>
      <c r="K49" s="3" t="s">
        <v>14</v>
      </c>
      <c r="L49" s="3" t="s">
        <v>100</v>
      </c>
    </row>
    <row r="50" spans="1:12" x14ac:dyDescent="0.25">
      <c r="A50" s="2" t="s">
        <v>101</v>
      </c>
      <c r="B50" s="3" t="str">
        <f>INDEX(Puestos!E:E,MATCH($L50,Puestos!$A:$A,0))</f>
        <v>CUNDINAMARCA</v>
      </c>
      <c r="C50" s="3" t="str">
        <f>INDEX(Puestos!D:D,MATCH($L50,Puestos!$A:$A,0))</f>
        <v>SOACHA</v>
      </c>
      <c r="D50" s="4" t="str">
        <f>INDEX(Puestos!B:B,MATCH($L50,Puestos!$A:$A,0))</f>
        <v>IE. NUEVO COMPARTIR</v>
      </c>
      <c r="E50" s="4" t="str">
        <f>INDEX(Puestos!C:C,MATCH($L50,Puestos!$A:$A,0))</f>
        <v>CRA 14 No 29 - 80 SUR COMPARTIR</v>
      </c>
      <c r="F50" s="3">
        <v>2</v>
      </c>
      <c r="G50" s="5">
        <f>INDEX(Puestos!F:F,MATCH($L50,Puestos!$A:$A,0))</f>
        <v>4.5728030999999998</v>
      </c>
      <c r="H50" s="5">
        <f>INDEX(Puestos!G:G,MATCH($L50,Puestos!$A:$A,0))</f>
        <v>-74.242497799999995</v>
      </c>
      <c r="I50" s="3" t="str">
        <f>INDEX(Puestos!H:H,MATCH($L50,Puestos!$A:$A,0))</f>
        <v>Aproximada</v>
      </c>
      <c r="J50" s="6" t="s">
        <v>13</v>
      </c>
      <c r="K50" s="3" t="s">
        <v>14</v>
      </c>
      <c r="L50" s="3" t="s">
        <v>102</v>
      </c>
    </row>
    <row r="51" spans="1:12" x14ac:dyDescent="0.25">
      <c r="A51" s="2" t="s">
        <v>103</v>
      </c>
      <c r="B51" s="3" t="str">
        <f>INDEX(Puestos!E:E,MATCH($L51,Puestos!$A:$A,0))</f>
        <v>BOGOTA D.C.</v>
      </c>
      <c r="C51" s="3" t="str">
        <f>INDEX(Puestos!D:D,MATCH($L51,Puestos!$A:$A,0))</f>
        <v>BOGOTA D.C.</v>
      </c>
      <c r="D51" s="4" t="str">
        <f>INDEX(Puestos!B:B,MATCH($L51,Puestos!$A:$A,0))</f>
        <v>SALON COMUNAL MARSELLA</v>
      </c>
      <c r="E51" s="4" t="str">
        <f>INDEX(Puestos!C:C,MATCH($L51,Puestos!$A:$A,0))</f>
        <v>CRA 69 No 8-28</v>
      </c>
      <c r="F51" s="3">
        <v>10</v>
      </c>
      <c r="G51" s="5">
        <f>INDEX(Puestos!F:F,MATCH($L51,Puestos!$A:$A,0))</f>
        <v>4.6324059999999996</v>
      </c>
      <c r="H51" s="5">
        <f>INDEX(Puestos!G:G,MATCH($L51,Puestos!$A:$A,0))</f>
        <v>-74.127012800000003</v>
      </c>
      <c r="I51" s="3" t="str">
        <f>INDEX(Puestos!H:H,MATCH($L51,Puestos!$A:$A,0))</f>
        <v>Exacta</v>
      </c>
      <c r="J51" s="6" t="s">
        <v>13</v>
      </c>
      <c r="K51" s="3" t="s">
        <v>14</v>
      </c>
      <c r="L51" s="3" t="s">
        <v>104</v>
      </c>
    </row>
    <row r="52" spans="1:12" x14ac:dyDescent="0.25">
      <c r="A52" s="2" t="s">
        <v>105</v>
      </c>
      <c r="B52" s="3" t="str">
        <f>INDEX(Puestos!E:E,MATCH($L52,Puestos!$A:$A,0))</f>
        <v>BOGOTA D.C.</v>
      </c>
      <c r="C52" s="3" t="str">
        <f>INDEX(Puestos!D:D,MATCH($L52,Puestos!$A:$A,0))</f>
        <v>BOGOTA D.C.</v>
      </c>
      <c r="D52" s="4" t="str">
        <f>INDEX(Puestos!B:B,MATCH($L52,Puestos!$A:$A,0))</f>
        <v>COLEGIO COLSUBSIDIO CHICALA</v>
      </c>
      <c r="E52" s="4" t="str">
        <f>INDEX(Puestos!C:C,MATCH($L52,Puestos!$A:$A,0))</f>
        <v>CRA 87 No 53C-26 SUR</v>
      </c>
      <c r="F52" s="3">
        <v>20</v>
      </c>
      <c r="G52" s="5">
        <f>INDEX(Puestos!F:F,MATCH($L52,Puestos!$A:$A,0))</f>
        <v>4.6249650000000004</v>
      </c>
      <c r="H52" s="5">
        <f>INDEX(Puestos!G:G,MATCH($L52,Puestos!$A:$A,0))</f>
        <v>-74.180923399999998</v>
      </c>
      <c r="I52" s="3" t="str">
        <f>INDEX(Puestos!H:H,MATCH($L52,Puestos!$A:$A,0))</f>
        <v>Exacta</v>
      </c>
      <c r="J52" s="6" t="s">
        <v>13</v>
      </c>
      <c r="K52" s="3" t="s">
        <v>14</v>
      </c>
      <c r="L52" s="3" t="s">
        <v>88</v>
      </c>
    </row>
    <row r="53" spans="1:12" ht="25.5" x14ac:dyDescent="0.25">
      <c r="A53" s="2" t="s">
        <v>106</v>
      </c>
      <c r="B53" s="3" t="str">
        <f>INDEX(Puestos!E:E,MATCH($L53,Puestos!$A:$A,0))</f>
        <v>BOGOTA D.C.</v>
      </c>
      <c r="C53" s="3" t="str">
        <f>INDEX(Puestos!D:D,MATCH($L53,Puestos!$A:$A,0))</f>
        <v>BOGOTA D.C.</v>
      </c>
      <c r="D53" s="4" t="str">
        <f>INDEX(Puestos!B:B,MATCH($L53,Puestos!$A:$A,0))</f>
        <v>BOSA SAN JOSE</v>
      </c>
      <c r="E53" s="4" t="str">
        <f>INDEX(Puestos!C:C,MATCH($L53,Puestos!$A:$A,0))</f>
        <v>CRA 89BIS #85A-20SUR CRA 80K #85A-33SUR</v>
      </c>
      <c r="F53" s="3">
        <v>14</v>
      </c>
      <c r="G53" s="5">
        <f>INDEX(Puestos!F:F,MATCH($L53,Puestos!$A:$A,0))</f>
        <v>4.6139291</v>
      </c>
      <c r="H53" s="5">
        <f>INDEX(Puestos!G:G,MATCH($L53,Puestos!$A:$A,0))</f>
        <v>-74.209820500000006</v>
      </c>
      <c r="I53" s="3" t="str">
        <f>INDEX(Puestos!H:H,MATCH($L53,Puestos!$A:$A,0))</f>
        <v>Exacta</v>
      </c>
      <c r="J53" s="6" t="s">
        <v>13</v>
      </c>
      <c r="K53" s="3" t="s">
        <v>14</v>
      </c>
      <c r="L53" s="3" t="s">
        <v>107</v>
      </c>
    </row>
    <row r="54" spans="1:12" x14ac:dyDescent="0.25">
      <c r="A54" s="2" t="s">
        <v>108</v>
      </c>
      <c r="B54" s="3" t="str">
        <f>INDEX(Puestos!E:E,MATCH($L54,Puestos!$A:$A,0))</f>
        <v>CUNDINAMARCA</v>
      </c>
      <c r="C54" s="3" t="str">
        <f>INDEX(Puestos!D:D,MATCH($L54,Puestos!$A:$A,0))</f>
        <v>ZIPAQUIRA</v>
      </c>
      <c r="D54" s="4" t="str">
        <f>INDEX(Puestos!B:B,MATCH($L54,Puestos!$A:$A,0))</f>
        <v>SEDE EDU SIMON BOLIVAR</v>
      </c>
      <c r="E54" s="4" t="str">
        <f>INDEX(Puestos!C:C,MATCH($L54,Puestos!$A:$A,0))</f>
        <v>CARRERA 14 No 18-38</v>
      </c>
      <c r="F54" s="3">
        <v>23</v>
      </c>
      <c r="G54" s="5">
        <f>INDEX(Puestos!F:F,MATCH($L54,Puestos!$A:$A,0))</f>
        <v>5.0328017999999997</v>
      </c>
      <c r="H54" s="5">
        <f>INDEX(Puestos!G:G,MATCH($L54,Puestos!$A:$A,0))</f>
        <v>-73.995932800000006</v>
      </c>
      <c r="I54" s="3" t="str">
        <f>INDEX(Puestos!H:H,MATCH($L54,Puestos!$A:$A,0))</f>
        <v>Exacta</v>
      </c>
      <c r="J54" s="6" t="s">
        <v>13</v>
      </c>
      <c r="K54" s="3" t="s">
        <v>14</v>
      </c>
      <c r="L54" s="3" t="s">
        <v>109</v>
      </c>
    </row>
    <row r="55" spans="1:12" x14ac:dyDescent="0.25">
      <c r="A55" s="2" t="s">
        <v>110</v>
      </c>
      <c r="B55" s="3" t="str">
        <f>INDEX(Puestos!E:E,MATCH($L55,Puestos!$A:$A,0))</f>
        <v>CUNDINAMARCA</v>
      </c>
      <c r="C55" s="3" t="str">
        <f>INDEX(Puestos!D:D,MATCH($L55,Puestos!$A:$A,0))</f>
        <v>ZIPAQUIRA</v>
      </c>
      <c r="D55" s="4" t="str">
        <f>INDEX(Puestos!B:B,MATCH($L55,Puestos!$A:$A,0))</f>
        <v>IEM CUNDINAMARCA</v>
      </c>
      <c r="E55" s="4" t="str">
        <f>INDEX(Puestos!C:C,MATCH($L55,Puestos!$A:$A,0))</f>
        <v>CL 7 N 1A-36 BR. LA CONCEPCION</v>
      </c>
      <c r="F55" s="3">
        <v>18</v>
      </c>
      <c r="G55" s="5">
        <f>INDEX(Puestos!F:F,MATCH($L55,Puestos!$A:$A,0))</f>
        <v>5.0279743999999997</v>
      </c>
      <c r="H55" s="5">
        <f>INDEX(Puestos!G:G,MATCH($L55,Puestos!$A:$A,0))</f>
        <v>-74.007978499999993</v>
      </c>
      <c r="I55" s="3" t="str">
        <f>INDEX(Puestos!H:H,MATCH($L55,Puestos!$A:$A,0))</f>
        <v>Exacta</v>
      </c>
      <c r="J55" s="6" t="s">
        <v>13</v>
      </c>
      <c r="K55" s="3" t="s">
        <v>14</v>
      </c>
      <c r="L55" s="3" t="s">
        <v>111</v>
      </c>
    </row>
    <row r="56" spans="1:12" ht="25.5" x14ac:dyDescent="0.25">
      <c r="A56" s="2" t="s">
        <v>112</v>
      </c>
      <c r="B56" s="3" t="str">
        <f>INDEX(Puestos!E:E,MATCH($L56,Puestos!$A:$A,0))</f>
        <v>CUNDINAMARCA</v>
      </c>
      <c r="C56" s="3" t="str">
        <f>INDEX(Puestos!D:D,MATCH($L56,Puestos!$A:$A,0))</f>
        <v>SOPO</v>
      </c>
      <c r="D56" s="4" t="str">
        <f>INDEX(Puestos!B:B,MATCH($L56,Puestos!$A:$A,0))</f>
        <v>C ACONDICIONAMIENTO Y PRE FISICA CAPF II</v>
      </c>
      <c r="E56" s="4" t="str">
        <f>INDEX(Puestos!C:C,MATCH($L56,Puestos!$A:$A,0))</f>
        <v>TRASVERSAL 6 No 1-29</v>
      </c>
      <c r="F56" s="3">
        <v>15</v>
      </c>
      <c r="G56" s="5">
        <f>INDEX(Puestos!F:F,MATCH($L56,Puestos!$A:$A,0))</f>
        <v>4.9070308999999996</v>
      </c>
      <c r="H56" s="5">
        <f>INDEX(Puestos!G:G,MATCH($L56,Puestos!$A:$A,0))</f>
        <v>-73.943684599999997</v>
      </c>
      <c r="I56" s="3" t="str">
        <f>INDEX(Puestos!H:H,MATCH($L56,Puestos!$A:$A,0))</f>
        <v>Revisar</v>
      </c>
      <c r="J56" s="6" t="s">
        <v>13</v>
      </c>
      <c r="K56" s="3" t="s">
        <v>14</v>
      </c>
      <c r="L56" s="3" t="s">
        <v>113</v>
      </c>
    </row>
    <row r="57" spans="1:12" ht="25.5" x14ac:dyDescent="0.25">
      <c r="A57" s="2" t="s">
        <v>114</v>
      </c>
      <c r="B57" s="3" t="str">
        <f>INDEX(Puestos!E:E,MATCH($L57,Puestos!$A:$A,0))</f>
        <v>CUNDINAMARCA</v>
      </c>
      <c r="C57" s="3" t="str">
        <f>INDEX(Puestos!D:D,MATCH($L57,Puestos!$A:$A,0))</f>
        <v>SOACHA</v>
      </c>
      <c r="D57" s="4" t="str">
        <f>INDEX(Puestos!B:B,MATCH($L57,Puestos!$A:$A,0))</f>
        <v>CENTRO DEPORTIVO PARQUE DE LOS LOCOS</v>
      </c>
      <c r="E57" s="4" t="str">
        <f>INDEX(Puestos!C:C,MATCH($L57,Puestos!$A:$A,0))</f>
        <v>CRA 9 CLL 15</v>
      </c>
      <c r="F57" s="3">
        <v>31</v>
      </c>
      <c r="G57" s="5">
        <f>INDEX(Puestos!F:F,MATCH($L57,Puestos!$A:$A,0))</f>
        <v>4.5847439999999997</v>
      </c>
      <c r="H57" s="5">
        <f>INDEX(Puestos!G:G,MATCH($L57,Puestos!$A:$A,0))</f>
        <v>-74.217161000000004</v>
      </c>
      <c r="I57" s="3" t="str">
        <f>INDEX(Puestos!H:H,MATCH($L57,Puestos!$A:$A,0))</f>
        <v>Exacta</v>
      </c>
      <c r="J57" s="6" t="s">
        <v>13</v>
      </c>
      <c r="K57" s="3" t="s">
        <v>14</v>
      </c>
      <c r="L57" s="3" t="s">
        <v>115</v>
      </c>
    </row>
    <row r="58" spans="1:12" x14ac:dyDescent="0.25">
      <c r="A58" s="2" t="s">
        <v>116</v>
      </c>
      <c r="B58" s="3" t="str">
        <f>INDEX(Puestos!E:E,MATCH($L58,Puestos!$A:$A,0))</f>
        <v>CUNDINAMARCA</v>
      </c>
      <c r="C58" s="3" t="str">
        <f>INDEX(Puestos!D:D,MATCH($L58,Puestos!$A:$A,0))</f>
        <v>SOACHA</v>
      </c>
      <c r="D58" s="4" t="str">
        <f>INDEX(Puestos!B:B,MATCH($L58,Puestos!$A:$A,0))</f>
        <v>I.E. LEON XIII</v>
      </c>
      <c r="E58" s="4" t="str">
        <f>INDEX(Puestos!C:C,MATCH($L58,Puestos!$A:$A,0))</f>
        <v>CR. 8 NO. 5 - 83 LEON XIII</v>
      </c>
      <c r="F58" s="3">
        <v>14</v>
      </c>
      <c r="G58" s="5">
        <f>INDEX(Puestos!F:F,MATCH($L58,Puestos!$A:$A,0))</f>
        <v>4.593502</v>
      </c>
      <c r="H58" s="5">
        <f>INDEX(Puestos!G:G,MATCH($L58,Puestos!$A:$A,0))</f>
        <v>-74.194404599999999</v>
      </c>
      <c r="I58" s="3" t="str">
        <f>INDEX(Puestos!H:H,MATCH($L58,Puestos!$A:$A,0))</f>
        <v>Exacta</v>
      </c>
      <c r="J58" s="6" t="s">
        <v>13</v>
      </c>
      <c r="K58" s="3" t="s">
        <v>14</v>
      </c>
      <c r="L58" s="3" t="s">
        <v>117</v>
      </c>
    </row>
    <row r="59" spans="1:12" x14ac:dyDescent="0.25">
      <c r="A59" s="2" t="s">
        <v>118</v>
      </c>
      <c r="B59" s="3" t="str">
        <f>INDEX(Puestos!E:E,MATCH($L59,Puestos!$A:$A,0))</f>
        <v>CUNDINAMARCA</v>
      </c>
      <c r="C59" s="3" t="str">
        <f>INDEX(Puestos!D:D,MATCH($L59,Puestos!$A:$A,0))</f>
        <v>SOACHA</v>
      </c>
      <c r="D59" s="4" t="str">
        <f>INDEX(Puestos!B:B,MATCH($L59,Puestos!$A:$A,0))</f>
        <v>I.E. SOL NACIENTE</v>
      </c>
      <c r="E59" s="4" t="str">
        <f>INDEX(Puestos!C:C,MATCH($L59,Puestos!$A:$A,0))</f>
        <v>CLL 15 A No. 1B - 12</v>
      </c>
      <c r="F59" s="3">
        <v>17</v>
      </c>
      <c r="G59" s="5">
        <f>INDEX(Puestos!F:F,MATCH($L59,Puestos!$A:$A,0))</f>
        <v>4.5770727999999998</v>
      </c>
      <c r="H59" s="5">
        <f>INDEX(Puestos!G:G,MATCH($L59,Puestos!$A:$A,0))</f>
        <v>-74.213906100000003</v>
      </c>
      <c r="I59" s="3" t="str">
        <f>INDEX(Puestos!H:H,MATCH($L59,Puestos!$A:$A,0))</f>
        <v>Aproximada</v>
      </c>
      <c r="J59" s="6" t="s">
        <v>13</v>
      </c>
      <c r="K59" s="3" t="s">
        <v>14</v>
      </c>
      <c r="L59" s="3" t="s">
        <v>119</v>
      </c>
    </row>
    <row r="60" spans="1:12" x14ac:dyDescent="0.25">
      <c r="A60" s="2" t="s">
        <v>120</v>
      </c>
      <c r="B60" s="3" t="str">
        <f>INDEX(Puestos!E:E,MATCH($L60,Puestos!$A:$A,0))</f>
        <v>BOGOTA D.C.</v>
      </c>
      <c r="C60" s="3" t="str">
        <f>INDEX(Puestos!D:D,MATCH($L60,Puestos!$A:$A,0))</f>
        <v>BOGOTA D.C.</v>
      </c>
      <c r="D60" s="4" t="str">
        <f>INDEX(Puestos!B:B,MATCH($L60,Puestos!$A:$A,0))</f>
        <v>BENJAMIN HERRERA</v>
      </c>
      <c r="E60" s="4" t="str">
        <f>INDEX(Puestos!C:C,MATCH($L60,Puestos!$A:$A,0))</f>
        <v>CRA 28 # 63 - 64</v>
      </c>
      <c r="F60" s="3">
        <v>4</v>
      </c>
      <c r="G60" s="5">
        <f>INDEX(Puestos!F:F,MATCH($L60,Puestos!$A:$A,0))</f>
        <v>4.6550314000000004</v>
      </c>
      <c r="H60" s="5">
        <f>INDEX(Puestos!G:G,MATCH($L60,Puestos!$A:$A,0))</f>
        <v>-74.076467399999999</v>
      </c>
      <c r="I60" s="3" t="str">
        <f>INDEX(Puestos!H:H,MATCH($L60,Puestos!$A:$A,0))</f>
        <v>Aproximada</v>
      </c>
      <c r="J60" s="6" t="s">
        <v>13</v>
      </c>
      <c r="K60" s="3" t="s">
        <v>14</v>
      </c>
      <c r="L60" s="3" t="s">
        <v>121</v>
      </c>
    </row>
    <row r="61" spans="1:12" ht="25.5" x14ac:dyDescent="0.25">
      <c r="A61" s="2" t="s">
        <v>122</v>
      </c>
      <c r="B61" s="3" t="str">
        <f>INDEX(Puestos!E:E,MATCH($L61,Puestos!$A:$A,0))</f>
        <v>CUNDINAMARCA</v>
      </c>
      <c r="C61" s="3" t="str">
        <f>INDEX(Puestos!D:D,MATCH($L61,Puestos!$A:$A,0))</f>
        <v>SOACHA</v>
      </c>
      <c r="D61" s="4" t="str">
        <f>INDEX(Puestos!B:B,MATCH($L61,Puestos!$A:$A,0))</f>
        <v>COLEGIO MINUTO DE DIOS CIUDAD VERDE</v>
      </c>
      <c r="E61" s="4" t="str">
        <f>INDEX(Puestos!C:C,MATCH($L61,Puestos!$A:$A,0))</f>
        <v>CALLE 38 No 31 141 CIUDAD VERDE</v>
      </c>
      <c r="F61" s="3">
        <v>15</v>
      </c>
      <c r="G61" s="5">
        <f>INDEX(Puestos!F:F,MATCH($L61,Puestos!$A:$A,0))</f>
        <v>4.6061877000000004</v>
      </c>
      <c r="H61" s="5">
        <f>INDEX(Puestos!G:G,MATCH($L61,Puestos!$A:$A,0))</f>
        <v>-74.213059599999994</v>
      </c>
      <c r="I61" s="3" t="str">
        <f>INDEX(Puestos!H:H,MATCH($L61,Puestos!$A:$A,0))</f>
        <v>Exacta</v>
      </c>
      <c r="J61" s="6" t="s">
        <v>13</v>
      </c>
      <c r="K61" s="3" t="s">
        <v>14</v>
      </c>
      <c r="L61" s="3" t="s">
        <v>17</v>
      </c>
    </row>
    <row r="62" spans="1:12" x14ac:dyDescent="0.25">
      <c r="A62" s="2">
        <v>39679683</v>
      </c>
      <c r="B62" s="3" t="s">
        <v>130</v>
      </c>
      <c r="C62" s="3" t="s">
        <v>129</v>
      </c>
      <c r="D62" s="4" t="s">
        <v>280</v>
      </c>
      <c r="E62" s="4" t="s">
        <v>281</v>
      </c>
      <c r="F62" s="3">
        <v>5</v>
      </c>
      <c r="G62" s="5">
        <v>4.5954600000000001</v>
      </c>
      <c r="H62" s="5">
        <v>-74.19502</v>
      </c>
      <c r="I62" s="3" t="s">
        <v>131</v>
      </c>
      <c r="J62" s="6" t="s">
        <v>13</v>
      </c>
      <c r="K62" s="3" t="s">
        <v>14</v>
      </c>
      <c r="L62" s="3" t="s">
        <v>282</v>
      </c>
    </row>
    <row r="63" spans="1:12" x14ac:dyDescent="0.25">
      <c r="A63" s="2">
        <v>52526840</v>
      </c>
      <c r="B63" s="3" t="s">
        <v>130</v>
      </c>
      <c r="C63" s="3" t="s">
        <v>129</v>
      </c>
      <c r="D63" s="4" t="s">
        <v>283</v>
      </c>
      <c r="E63" s="4" t="s">
        <v>284</v>
      </c>
      <c r="F63" s="3">
        <v>11</v>
      </c>
      <c r="G63" s="5">
        <v>4.5854299999999997</v>
      </c>
      <c r="H63" s="5">
        <v>-74.201449999999994</v>
      </c>
      <c r="I63" s="3" t="s">
        <v>131</v>
      </c>
      <c r="J63" s="6" t="s">
        <v>13</v>
      </c>
      <c r="K63" s="3" t="s">
        <v>14</v>
      </c>
      <c r="L63" s="3" t="s">
        <v>285</v>
      </c>
    </row>
    <row r="64" spans="1:12" x14ac:dyDescent="0.25">
      <c r="A64" s="2">
        <v>1014296488</v>
      </c>
      <c r="B64" s="3" t="s">
        <v>160</v>
      </c>
      <c r="C64" s="3" t="s">
        <v>160</v>
      </c>
      <c r="D64" s="4" t="s">
        <v>286</v>
      </c>
      <c r="E64" s="4" t="s">
        <v>287</v>
      </c>
      <c r="F64" s="3">
        <v>23</v>
      </c>
      <c r="G64" s="5">
        <v>4.7118200000000003</v>
      </c>
      <c r="H64" s="5">
        <v>-74.120339999999999</v>
      </c>
      <c r="I64" s="3" t="s">
        <v>131</v>
      </c>
      <c r="J64" s="6" t="s">
        <v>13</v>
      </c>
      <c r="K64" s="3" t="s">
        <v>14</v>
      </c>
      <c r="L64" s="3" t="s">
        <v>288</v>
      </c>
    </row>
    <row r="65" spans="1:12" x14ac:dyDescent="0.25">
      <c r="A65" s="2">
        <v>52197931</v>
      </c>
      <c r="B65" s="3" t="s">
        <v>130</v>
      </c>
      <c r="C65" s="3" t="s">
        <v>129</v>
      </c>
      <c r="D65" s="4" t="s">
        <v>207</v>
      </c>
      <c r="E65" s="4" t="s">
        <v>208</v>
      </c>
      <c r="F65" s="3">
        <v>8</v>
      </c>
      <c r="G65" s="5">
        <v>4.5836645000000003</v>
      </c>
      <c r="H65" s="5">
        <v>-74.217831200000006</v>
      </c>
      <c r="I65" s="3" t="s">
        <v>131</v>
      </c>
      <c r="J65" s="6" t="s">
        <v>13</v>
      </c>
      <c r="K65" s="3" t="s">
        <v>14</v>
      </c>
      <c r="L65" s="3" t="s">
        <v>72</v>
      </c>
    </row>
    <row r="66" spans="1:12" x14ac:dyDescent="0.25">
      <c r="A66" s="2">
        <v>10740728</v>
      </c>
      <c r="B66" s="3" t="s">
        <v>130</v>
      </c>
      <c r="C66" s="3" t="s">
        <v>218</v>
      </c>
      <c r="D66" s="4" t="s">
        <v>216</v>
      </c>
      <c r="E66" s="4" t="s">
        <v>217</v>
      </c>
      <c r="F66" s="3">
        <v>6</v>
      </c>
      <c r="G66" s="5">
        <v>4.4933690000000004</v>
      </c>
      <c r="H66" s="5">
        <v>-74.257975099999996</v>
      </c>
      <c r="I66" s="3" t="s">
        <v>165</v>
      </c>
      <c r="J66" s="6" t="s">
        <v>13</v>
      </c>
      <c r="K66" s="3" t="s">
        <v>14</v>
      </c>
      <c r="L66" s="3" t="s">
        <v>80</v>
      </c>
    </row>
    <row r="67" spans="1:12" ht="25.5" x14ac:dyDescent="0.25">
      <c r="A67" s="2">
        <v>52356333</v>
      </c>
      <c r="B67" s="3" t="s">
        <v>130</v>
      </c>
      <c r="C67" s="3" t="s">
        <v>129</v>
      </c>
      <c r="D67" s="4" t="s">
        <v>145</v>
      </c>
      <c r="E67" s="4" t="s">
        <v>146</v>
      </c>
      <c r="F67" s="3">
        <v>2</v>
      </c>
      <c r="G67" s="5">
        <v>4.5663852</v>
      </c>
      <c r="H67" s="5">
        <v>-74.2371026</v>
      </c>
      <c r="I67" s="3" t="s">
        <v>147</v>
      </c>
      <c r="J67" s="6" t="s">
        <v>13</v>
      </c>
      <c r="K67" s="3" t="s">
        <v>14</v>
      </c>
      <c r="L67" s="3" t="s">
        <v>27</v>
      </c>
    </row>
    <row r="68" spans="1:12" x14ac:dyDescent="0.25">
      <c r="A68" s="2">
        <v>1024575963</v>
      </c>
      <c r="B68" s="3" t="s">
        <v>160</v>
      </c>
      <c r="C68" s="3" t="s">
        <v>160</v>
      </c>
      <c r="D68" s="4" t="s">
        <v>289</v>
      </c>
      <c r="E68" s="4" t="s">
        <v>290</v>
      </c>
      <c r="F68" s="3">
        <v>34</v>
      </c>
      <c r="G68" s="5">
        <v>4.5871199999999996</v>
      </c>
      <c r="H68" s="5">
        <v>-74.162350000000004</v>
      </c>
      <c r="I68" s="3" t="s">
        <v>131</v>
      </c>
      <c r="J68" s="6" t="s">
        <v>13</v>
      </c>
      <c r="K68" s="3" t="s">
        <v>14</v>
      </c>
      <c r="L68" s="3" t="s">
        <v>291</v>
      </c>
    </row>
    <row r="69" spans="1:12" x14ac:dyDescent="0.25">
      <c r="A69" s="2">
        <v>1073674702</v>
      </c>
      <c r="B69" s="3" t="s">
        <v>160</v>
      </c>
      <c r="C69" s="3" t="s">
        <v>160</v>
      </c>
      <c r="D69" s="4" t="s">
        <v>292</v>
      </c>
      <c r="E69" s="4" t="s">
        <v>293</v>
      </c>
      <c r="F69" s="3">
        <v>27</v>
      </c>
      <c r="G69" s="5">
        <v>4.5998099999999997</v>
      </c>
      <c r="H69" s="5">
        <v>-74.125429999999994</v>
      </c>
      <c r="I69" s="3" t="s">
        <v>131</v>
      </c>
      <c r="J69" s="6" t="s">
        <v>13</v>
      </c>
      <c r="K69" s="3" t="s">
        <v>14</v>
      </c>
      <c r="L69" s="3" t="s">
        <v>294</v>
      </c>
    </row>
    <row r="70" spans="1:12" x14ac:dyDescent="0.25">
      <c r="A70" s="2">
        <v>52272820</v>
      </c>
      <c r="B70" s="3" t="s">
        <v>160</v>
      </c>
      <c r="C70" s="3" t="s">
        <v>160</v>
      </c>
      <c r="D70" s="4" t="s">
        <v>130</v>
      </c>
      <c r="E70" s="4" t="s">
        <v>295</v>
      </c>
      <c r="F70" s="3">
        <v>3</v>
      </c>
      <c r="G70" s="5">
        <v>4.6198399999999999</v>
      </c>
      <c r="H70" s="5">
        <v>-74.101230000000001</v>
      </c>
      <c r="I70" s="3" t="s">
        <v>131</v>
      </c>
      <c r="J70" s="6" t="s">
        <v>13</v>
      </c>
      <c r="K70" s="3" t="s">
        <v>14</v>
      </c>
      <c r="L70" s="3" t="s">
        <v>296</v>
      </c>
    </row>
    <row r="71" spans="1:12" ht="25.5" x14ac:dyDescent="0.25">
      <c r="A71" s="2">
        <v>1031142237</v>
      </c>
      <c r="B71" s="3" t="s">
        <v>160</v>
      </c>
      <c r="C71" s="3" t="s">
        <v>160</v>
      </c>
      <c r="D71" s="4" t="s">
        <v>297</v>
      </c>
      <c r="E71" s="4" t="s">
        <v>298</v>
      </c>
      <c r="F71" s="3">
        <v>25</v>
      </c>
      <c r="G71" s="5">
        <v>4.5512300000000003</v>
      </c>
      <c r="H71" s="5">
        <v>-74.140119999999996</v>
      </c>
      <c r="I71" s="3" t="s">
        <v>131</v>
      </c>
      <c r="J71" s="6" t="s">
        <v>13</v>
      </c>
      <c r="K71" s="3" t="s">
        <v>14</v>
      </c>
      <c r="L71" s="3" t="s">
        <v>299</v>
      </c>
    </row>
    <row r="72" spans="1:12" x14ac:dyDescent="0.25">
      <c r="A72" s="2">
        <v>1031640143</v>
      </c>
      <c r="B72" s="3" t="s">
        <v>130</v>
      </c>
      <c r="C72" s="3" t="s">
        <v>129</v>
      </c>
      <c r="D72" s="4" t="s">
        <v>149</v>
      </c>
      <c r="E72" s="4" t="s">
        <v>150</v>
      </c>
      <c r="F72" s="3">
        <v>21</v>
      </c>
      <c r="G72" s="5">
        <v>4.5913260999999999</v>
      </c>
      <c r="H72" s="5">
        <v>-74.228576099999998</v>
      </c>
      <c r="I72" s="3" t="s">
        <v>147</v>
      </c>
      <c r="J72" s="6" t="s">
        <v>13</v>
      </c>
      <c r="K72" s="3" t="s">
        <v>14</v>
      </c>
      <c r="L72" s="3" t="s">
        <v>36</v>
      </c>
    </row>
    <row r="73" spans="1:12" ht="25.5" x14ac:dyDescent="0.25">
      <c r="A73" s="2">
        <v>72289576</v>
      </c>
      <c r="B73" s="3" t="s">
        <v>300</v>
      </c>
      <c r="C73" s="3" t="s">
        <v>301</v>
      </c>
      <c r="D73" s="4" t="s">
        <v>302</v>
      </c>
      <c r="E73" s="4" t="s">
        <v>303</v>
      </c>
      <c r="F73" s="3">
        <v>12</v>
      </c>
      <c r="G73" s="5">
        <v>5.5317759999999998</v>
      </c>
      <c r="H73" s="5">
        <v>-73.363155000000006</v>
      </c>
      <c r="I73" s="3" t="s">
        <v>131</v>
      </c>
      <c r="J73" s="6" t="s">
        <v>13</v>
      </c>
      <c r="K73" s="3" t="s">
        <v>14</v>
      </c>
      <c r="L73" s="3" t="s">
        <v>304</v>
      </c>
    </row>
    <row r="74" spans="1:12" x14ac:dyDescent="0.25">
      <c r="A74" s="2">
        <v>87070187</v>
      </c>
      <c r="B74" s="3" t="s">
        <v>305</v>
      </c>
      <c r="C74" s="3" t="s">
        <v>306</v>
      </c>
      <c r="D74" s="4" t="s">
        <v>307</v>
      </c>
      <c r="E74" s="4" t="s">
        <v>308</v>
      </c>
      <c r="F74" s="3">
        <v>15</v>
      </c>
      <c r="G74" s="5">
        <v>1.2191529999999999</v>
      </c>
      <c r="H74" s="5">
        <v>-77.285814000000002</v>
      </c>
      <c r="I74" s="3" t="s">
        <v>131</v>
      </c>
      <c r="J74" s="6" t="s">
        <v>13</v>
      </c>
      <c r="K74" s="3" t="s">
        <v>14</v>
      </c>
      <c r="L74" s="3" t="s">
        <v>309</v>
      </c>
    </row>
    <row r="75" spans="1:12" x14ac:dyDescent="0.25">
      <c r="A75" s="2">
        <v>55237762</v>
      </c>
      <c r="B75" s="3" t="s">
        <v>310</v>
      </c>
      <c r="C75" s="3" t="s">
        <v>311</v>
      </c>
      <c r="D75" s="4" t="s">
        <v>312</v>
      </c>
      <c r="E75" s="4" t="s">
        <v>313</v>
      </c>
      <c r="F75" s="3">
        <v>3</v>
      </c>
      <c r="G75" s="5">
        <v>7.0682289999999997</v>
      </c>
      <c r="H75" s="5">
        <v>-73.169542000000007</v>
      </c>
      <c r="I75" s="3" t="s">
        <v>131</v>
      </c>
      <c r="J75" s="6" t="s">
        <v>13</v>
      </c>
      <c r="K75" s="3" t="s">
        <v>14</v>
      </c>
      <c r="L75" s="3" t="s">
        <v>314</v>
      </c>
    </row>
    <row r="76" spans="1:12" x14ac:dyDescent="0.25">
      <c r="A76" s="2">
        <v>1116787273</v>
      </c>
      <c r="B76" s="3" t="s">
        <v>315</v>
      </c>
      <c r="C76" s="3" t="s">
        <v>315</v>
      </c>
      <c r="D76" s="4" t="s">
        <v>316</v>
      </c>
      <c r="E76" s="4" t="s">
        <v>317</v>
      </c>
      <c r="F76" s="3">
        <v>15</v>
      </c>
      <c r="G76" s="5">
        <v>7.0877540000000003</v>
      </c>
      <c r="H76" s="5">
        <v>-70.754714000000007</v>
      </c>
      <c r="I76" s="3" t="s">
        <v>131</v>
      </c>
      <c r="J76" s="6" t="s">
        <v>13</v>
      </c>
      <c r="K76" s="3" t="s">
        <v>14</v>
      </c>
      <c r="L76" s="3" t="s">
        <v>318</v>
      </c>
    </row>
    <row r="77" spans="1:12" x14ac:dyDescent="0.25">
      <c r="A77" s="2">
        <v>1005476542</v>
      </c>
      <c r="B77" s="3" t="s">
        <v>315</v>
      </c>
      <c r="C77" s="3" t="s">
        <v>315</v>
      </c>
      <c r="D77" s="4" t="s">
        <v>319</v>
      </c>
      <c r="E77" s="4" t="s">
        <v>320</v>
      </c>
      <c r="F77" s="3">
        <v>11</v>
      </c>
      <c r="G77" s="5">
        <v>7.0784510000000003</v>
      </c>
      <c r="H77" s="5">
        <v>-70.758412000000007</v>
      </c>
      <c r="I77" s="3" t="s">
        <v>131</v>
      </c>
      <c r="J77" s="6" t="s">
        <v>13</v>
      </c>
      <c r="K77" s="3" t="s">
        <v>14</v>
      </c>
      <c r="L77" s="3" t="s">
        <v>321</v>
      </c>
    </row>
    <row r="78" spans="1:12" ht="25.5" x14ac:dyDescent="0.25">
      <c r="A78" s="2">
        <v>1098644764</v>
      </c>
      <c r="B78" s="3" t="s">
        <v>310</v>
      </c>
      <c r="C78" s="3" t="s">
        <v>322</v>
      </c>
      <c r="D78" s="4" t="s">
        <v>323</v>
      </c>
      <c r="E78" s="4" t="s">
        <v>324</v>
      </c>
      <c r="F78" s="3">
        <v>29</v>
      </c>
      <c r="G78" s="5">
        <v>7.1181210000000004</v>
      </c>
      <c r="H78" s="5">
        <v>-73.116523999999998</v>
      </c>
      <c r="I78" s="3" t="s">
        <v>131</v>
      </c>
      <c r="J78" s="6" t="s">
        <v>13</v>
      </c>
      <c r="K78" s="3" t="s">
        <v>14</v>
      </c>
      <c r="L78" s="3" t="s">
        <v>325</v>
      </c>
    </row>
    <row r="79" spans="1:12" x14ac:dyDescent="0.25">
      <c r="A79" s="2">
        <v>79426568</v>
      </c>
      <c r="B79" s="3" t="s">
        <v>300</v>
      </c>
      <c r="C79" s="3" t="s">
        <v>326</v>
      </c>
      <c r="D79" s="4" t="s">
        <v>327</v>
      </c>
      <c r="E79" s="4" t="s">
        <v>328</v>
      </c>
      <c r="F79" s="3">
        <v>9</v>
      </c>
      <c r="G79" s="5">
        <v>5.825825</v>
      </c>
      <c r="H79" s="5">
        <v>-73.033620999999997</v>
      </c>
      <c r="I79" s="3" t="s">
        <v>131</v>
      </c>
      <c r="J79" s="6" t="s">
        <v>13</v>
      </c>
      <c r="K79" s="3" t="s">
        <v>14</v>
      </c>
      <c r="L79" s="3" t="s">
        <v>329</v>
      </c>
    </row>
    <row r="80" spans="1:12" x14ac:dyDescent="0.25">
      <c r="A80" s="2">
        <v>1007129127</v>
      </c>
      <c r="B80" s="3" t="s">
        <v>330</v>
      </c>
      <c r="C80" s="3" t="s">
        <v>331</v>
      </c>
      <c r="D80" s="4" t="s">
        <v>332</v>
      </c>
      <c r="E80" s="4" t="s">
        <v>333</v>
      </c>
      <c r="F80" s="3">
        <v>21</v>
      </c>
      <c r="G80" s="5">
        <v>10.828550999999999</v>
      </c>
      <c r="H80" s="5">
        <v>-75.034547000000003</v>
      </c>
      <c r="I80" s="3" t="s">
        <v>131</v>
      </c>
      <c r="J80" s="6" t="s">
        <v>13</v>
      </c>
      <c r="K80" s="3" t="s">
        <v>14</v>
      </c>
      <c r="L80" s="3" t="s">
        <v>334</v>
      </c>
    </row>
    <row r="81" spans="1:12" x14ac:dyDescent="0.25">
      <c r="A81" s="2">
        <v>1030673385</v>
      </c>
      <c r="B81" s="3" t="s">
        <v>160</v>
      </c>
      <c r="C81" s="3" t="s">
        <v>160</v>
      </c>
      <c r="D81" s="4" t="s">
        <v>335</v>
      </c>
      <c r="E81" s="4" t="s">
        <v>336</v>
      </c>
      <c r="F81" s="3">
        <v>20</v>
      </c>
      <c r="G81" s="5">
        <v>4.5995730000000004</v>
      </c>
      <c r="H81" s="5">
        <v>-74.133280999999997</v>
      </c>
      <c r="I81" s="3" t="s">
        <v>131</v>
      </c>
      <c r="J81" s="6" t="s">
        <v>13</v>
      </c>
      <c r="K81" s="3" t="s">
        <v>14</v>
      </c>
      <c r="L81" s="3" t="s">
        <v>337</v>
      </c>
    </row>
  </sheetData>
  <autoFilter ref="A1:L61" xr:uid="{00000000-0009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9" customWidth="1"/>
    <col min="2" max="2" width="38" customWidth="1"/>
    <col min="3" max="3" width="36" customWidth="1"/>
    <col min="4" max="4" width="13" customWidth="1"/>
    <col min="5" max="5" width="15" customWidth="1"/>
    <col min="6" max="6" width="11" customWidth="1"/>
    <col min="7" max="7" width="12" customWidth="1"/>
    <col min="8" max="8" width="11" customWidth="1"/>
    <col min="9" max="9" width="44" customWidth="1"/>
    <col min="10" max="11" width="9" customWidth="1"/>
    <col min="12" max="12" width="13" customWidth="1"/>
  </cols>
  <sheetData>
    <row r="1" spans="1:12" ht="30" customHeight="1" x14ac:dyDescent="0.25">
      <c r="A1" s="1" t="s">
        <v>11</v>
      </c>
      <c r="B1" s="1" t="s">
        <v>3</v>
      </c>
      <c r="C1" s="1" t="s">
        <v>4</v>
      </c>
      <c r="D1" s="1" t="s">
        <v>2</v>
      </c>
      <c r="E1" s="1" t="s">
        <v>1</v>
      </c>
      <c r="F1" s="1" t="s">
        <v>6</v>
      </c>
      <c r="G1" s="1" t="s">
        <v>7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9</v>
      </c>
    </row>
    <row r="2" spans="1:12" ht="25.5" x14ac:dyDescent="0.25">
      <c r="A2" s="3" t="s">
        <v>17</v>
      </c>
      <c r="B2" s="4" t="s">
        <v>127</v>
      </c>
      <c r="C2" s="4" t="s">
        <v>128</v>
      </c>
      <c r="D2" s="3" t="s">
        <v>129</v>
      </c>
      <c r="E2" s="3" t="s">
        <v>130</v>
      </c>
      <c r="F2" s="5">
        <v>4.6061877000000004</v>
      </c>
      <c r="G2" s="5">
        <v>-74.213059599999994</v>
      </c>
      <c r="H2" s="8" t="s">
        <v>131</v>
      </c>
      <c r="I2" s="4" t="s">
        <v>132</v>
      </c>
      <c r="J2" s="3">
        <f>COUNTIF(Votantes!$L$2:$L$61,A2)</f>
        <v>4</v>
      </c>
      <c r="K2" s="3">
        <v>4</v>
      </c>
      <c r="L2" s="9" t="s">
        <v>13</v>
      </c>
    </row>
    <row r="3" spans="1:12" x14ac:dyDescent="0.25">
      <c r="A3" s="3" t="s">
        <v>19</v>
      </c>
      <c r="B3" s="4" t="s">
        <v>133</v>
      </c>
      <c r="C3" s="4" t="s">
        <v>134</v>
      </c>
      <c r="D3" s="3" t="s">
        <v>129</v>
      </c>
      <c r="E3" s="3" t="s">
        <v>130</v>
      </c>
      <c r="F3" s="5">
        <v>4.58256</v>
      </c>
      <c r="G3" s="5">
        <v>-74.194387000000006</v>
      </c>
      <c r="H3" s="8" t="s">
        <v>131</v>
      </c>
      <c r="I3" s="4" t="s">
        <v>132</v>
      </c>
      <c r="J3" s="3">
        <f>COUNTIF(Votantes!$L$2:$L$61,A3)</f>
        <v>2</v>
      </c>
      <c r="K3" s="3">
        <v>2</v>
      </c>
      <c r="L3" s="9" t="s">
        <v>13</v>
      </c>
    </row>
    <row r="4" spans="1:12" x14ac:dyDescent="0.25">
      <c r="A4" s="3" t="s">
        <v>44</v>
      </c>
      <c r="B4" s="4" t="s">
        <v>135</v>
      </c>
      <c r="C4" s="4" t="s">
        <v>136</v>
      </c>
      <c r="D4" s="3" t="s">
        <v>129</v>
      </c>
      <c r="E4" s="3" t="s">
        <v>130</v>
      </c>
      <c r="F4" s="5">
        <v>4.6049632999999996</v>
      </c>
      <c r="G4" s="5">
        <v>-74.214160300000003</v>
      </c>
      <c r="H4" s="8" t="s">
        <v>131</v>
      </c>
      <c r="I4" s="4" t="s">
        <v>137</v>
      </c>
      <c r="J4" s="3">
        <f>COUNTIF(Votantes!$L$2:$L$61,A4)</f>
        <v>2</v>
      </c>
      <c r="K4" s="3">
        <v>2</v>
      </c>
      <c r="L4" s="9" t="s">
        <v>13</v>
      </c>
    </row>
    <row r="5" spans="1:12" x14ac:dyDescent="0.25">
      <c r="A5" s="3" t="s">
        <v>15</v>
      </c>
      <c r="B5" s="4" t="s">
        <v>138</v>
      </c>
      <c r="C5" s="4" t="s">
        <v>139</v>
      </c>
      <c r="D5" s="3" t="s">
        <v>129</v>
      </c>
      <c r="E5" s="3" t="s">
        <v>130</v>
      </c>
      <c r="F5" s="5">
        <v>4.6099952999999996</v>
      </c>
      <c r="G5" s="5">
        <v>-74.223867299999995</v>
      </c>
      <c r="H5" s="8" t="s">
        <v>131</v>
      </c>
      <c r="I5" s="4" t="s">
        <v>140</v>
      </c>
      <c r="J5" s="3">
        <f>COUNTIF(Votantes!$L$2:$L$61,A5)</f>
        <v>2</v>
      </c>
      <c r="K5" s="3">
        <v>2</v>
      </c>
      <c r="L5" s="9" t="s">
        <v>13</v>
      </c>
    </row>
    <row r="6" spans="1:12" x14ac:dyDescent="0.25">
      <c r="A6" s="3" t="s">
        <v>23</v>
      </c>
      <c r="B6" s="4" t="s">
        <v>141</v>
      </c>
      <c r="C6" s="4" t="s">
        <v>142</v>
      </c>
      <c r="D6" s="3" t="s">
        <v>129</v>
      </c>
      <c r="E6" s="3" t="s">
        <v>130</v>
      </c>
      <c r="F6" s="5">
        <v>4.5881616000000003</v>
      </c>
      <c r="G6" s="5">
        <v>-74.203519099999994</v>
      </c>
      <c r="H6" s="8" t="s">
        <v>131</v>
      </c>
      <c r="I6" s="4" t="s">
        <v>140</v>
      </c>
      <c r="J6" s="3">
        <f>COUNTIF(Votantes!$L$2:$L$61,A6)</f>
        <v>2</v>
      </c>
      <c r="K6" s="3">
        <v>2</v>
      </c>
      <c r="L6" s="9" t="s">
        <v>13</v>
      </c>
    </row>
    <row r="7" spans="1:12" ht="25.5" x14ac:dyDescent="0.25">
      <c r="A7" s="3" t="s">
        <v>46</v>
      </c>
      <c r="B7" s="4" t="s">
        <v>143</v>
      </c>
      <c r="C7" s="4" t="s">
        <v>144</v>
      </c>
      <c r="D7" s="3" t="s">
        <v>129</v>
      </c>
      <c r="E7" s="3" t="s">
        <v>130</v>
      </c>
      <c r="F7" s="5">
        <v>4.5884600000000004</v>
      </c>
      <c r="G7" s="5">
        <v>-74.195040800000001</v>
      </c>
      <c r="H7" s="8" t="s">
        <v>131</v>
      </c>
      <c r="I7" s="4" t="s">
        <v>140</v>
      </c>
      <c r="J7" s="3">
        <f>COUNTIF(Votantes!$L$2:$L$61,A7)</f>
        <v>2</v>
      </c>
      <c r="K7" s="3">
        <v>2</v>
      </c>
      <c r="L7" s="9" t="s">
        <v>13</v>
      </c>
    </row>
    <row r="8" spans="1:12" ht="25.5" x14ac:dyDescent="0.25">
      <c r="A8" s="3" t="s">
        <v>27</v>
      </c>
      <c r="B8" s="4" t="s">
        <v>145</v>
      </c>
      <c r="C8" s="4" t="s">
        <v>146</v>
      </c>
      <c r="D8" s="3" t="s">
        <v>129</v>
      </c>
      <c r="E8" s="3" t="s">
        <v>130</v>
      </c>
      <c r="F8" s="5">
        <v>4.5663852</v>
      </c>
      <c r="G8" s="5">
        <v>-74.2371026</v>
      </c>
      <c r="H8" s="10" t="s">
        <v>147</v>
      </c>
      <c r="I8" s="4" t="s">
        <v>148</v>
      </c>
      <c r="J8" s="3">
        <f>COUNTIF(Votantes!$L$2:$L$61,A8)</f>
        <v>1</v>
      </c>
      <c r="K8" s="3">
        <v>1</v>
      </c>
      <c r="L8" s="9" t="s">
        <v>13</v>
      </c>
    </row>
    <row r="9" spans="1:12" ht="25.5" x14ac:dyDescent="0.25">
      <c r="A9" s="3" t="s">
        <v>36</v>
      </c>
      <c r="B9" s="4" t="s">
        <v>149</v>
      </c>
      <c r="C9" s="4" t="s">
        <v>150</v>
      </c>
      <c r="D9" s="3" t="s">
        <v>129</v>
      </c>
      <c r="E9" s="3" t="s">
        <v>130</v>
      </c>
      <c r="F9" s="5">
        <v>4.5913260999999999</v>
      </c>
      <c r="G9" s="5">
        <v>-74.228576099999998</v>
      </c>
      <c r="H9" s="10" t="s">
        <v>147</v>
      </c>
      <c r="I9" s="4" t="s">
        <v>151</v>
      </c>
      <c r="J9" s="3">
        <f>COUNTIF(Votantes!$L$2:$L$61,A9)</f>
        <v>1</v>
      </c>
      <c r="K9" s="3">
        <v>1</v>
      </c>
      <c r="L9" s="9" t="s">
        <v>13</v>
      </c>
    </row>
    <row r="10" spans="1:12" x14ac:dyDescent="0.25">
      <c r="A10" s="3" t="s">
        <v>21</v>
      </c>
      <c r="B10" s="4" t="s">
        <v>152</v>
      </c>
      <c r="C10" s="4" t="s">
        <v>153</v>
      </c>
      <c r="D10" s="3" t="s">
        <v>154</v>
      </c>
      <c r="E10" s="3" t="s">
        <v>130</v>
      </c>
      <c r="F10" s="5">
        <v>4.2988521999999998</v>
      </c>
      <c r="G10" s="5">
        <v>-74.804454100000001</v>
      </c>
      <c r="H10" s="8" t="s">
        <v>131</v>
      </c>
      <c r="I10" s="4" t="s">
        <v>140</v>
      </c>
      <c r="J10" s="3">
        <f>COUNTIF(Votantes!$L$2:$L$61,A10)</f>
        <v>1</v>
      </c>
      <c r="K10" s="3">
        <v>1</v>
      </c>
      <c r="L10" s="9" t="s">
        <v>13</v>
      </c>
    </row>
    <row r="11" spans="1:12" x14ac:dyDescent="0.25">
      <c r="A11" s="3" t="s">
        <v>30</v>
      </c>
      <c r="B11" s="4" t="s">
        <v>155</v>
      </c>
      <c r="C11" s="4" t="s">
        <v>156</v>
      </c>
      <c r="D11" s="3" t="s">
        <v>157</v>
      </c>
      <c r="E11" s="3" t="s">
        <v>130</v>
      </c>
      <c r="F11" s="5">
        <v>4.7035501000000002</v>
      </c>
      <c r="G11" s="5">
        <v>-74.231015299999996</v>
      </c>
      <c r="H11" s="8" t="s">
        <v>131</v>
      </c>
      <c r="I11" s="4" t="s">
        <v>132</v>
      </c>
      <c r="J11" s="3">
        <f>COUNTIF(Votantes!$L$2:$L$61,A11)</f>
        <v>1</v>
      </c>
      <c r="K11" s="3">
        <v>1</v>
      </c>
      <c r="L11" s="9" t="s">
        <v>13</v>
      </c>
    </row>
    <row r="12" spans="1:12" ht="25.5" x14ac:dyDescent="0.25">
      <c r="A12" s="3" t="s">
        <v>38</v>
      </c>
      <c r="B12" s="4" t="s">
        <v>158</v>
      </c>
      <c r="C12" s="4" t="s">
        <v>159</v>
      </c>
      <c r="D12" s="3" t="s">
        <v>160</v>
      </c>
      <c r="E12" s="3" t="s">
        <v>160</v>
      </c>
      <c r="F12" s="5">
        <v>4.5822362999999999</v>
      </c>
      <c r="G12" s="5">
        <v>-74.156754500000005</v>
      </c>
      <c r="H12" s="8" t="s">
        <v>131</v>
      </c>
      <c r="I12" s="4" t="s">
        <v>132</v>
      </c>
      <c r="J12" s="3">
        <f>COUNTIF(Votantes!$L$2:$L$61,A12)</f>
        <v>1</v>
      </c>
      <c r="K12" s="3">
        <v>1</v>
      </c>
      <c r="L12" s="9" t="s">
        <v>13</v>
      </c>
    </row>
    <row r="13" spans="1:12" x14ac:dyDescent="0.25">
      <c r="A13" s="3" t="s">
        <v>40</v>
      </c>
      <c r="B13" s="4" t="s">
        <v>161</v>
      </c>
      <c r="C13" s="4" t="s">
        <v>162</v>
      </c>
      <c r="D13" s="3" t="s">
        <v>160</v>
      </c>
      <c r="E13" s="3" t="s">
        <v>160</v>
      </c>
      <c r="F13" s="5">
        <v>4.6928276000000002</v>
      </c>
      <c r="G13" s="5">
        <v>-74.110623099999998</v>
      </c>
      <c r="H13" s="8" t="s">
        <v>131</v>
      </c>
      <c r="I13" s="4" t="s">
        <v>140</v>
      </c>
      <c r="J13" s="3">
        <f>COUNTIF(Votantes!$L$2:$L$61,A13)</f>
        <v>1</v>
      </c>
      <c r="K13" s="3">
        <v>1</v>
      </c>
      <c r="L13" s="9" t="s">
        <v>13</v>
      </c>
    </row>
    <row r="14" spans="1:12" ht="25.5" x14ac:dyDescent="0.25">
      <c r="A14" s="3" t="s">
        <v>42</v>
      </c>
      <c r="B14" s="4" t="s">
        <v>163</v>
      </c>
      <c r="C14" s="4" t="s">
        <v>164</v>
      </c>
      <c r="D14" s="3" t="s">
        <v>160</v>
      </c>
      <c r="E14" s="3" t="s">
        <v>160</v>
      </c>
      <c r="F14" s="5">
        <v>4.5971912000000001</v>
      </c>
      <c r="G14" s="5">
        <v>-74.180366399999997</v>
      </c>
      <c r="H14" s="11" t="s">
        <v>165</v>
      </c>
      <c r="I14" s="4" t="s">
        <v>166</v>
      </c>
      <c r="J14" s="3">
        <f>COUNTIF(Votantes!$L$2:$L$61,A14)</f>
        <v>1</v>
      </c>
      <c r="K14" s="3">
        <v>1</v>
      </c>
      <c r="L14" s="9" t="s">
        <v>13</v>
      </c>
    </row>
    <row r="15" spans="1:12" x14ac:dyDescent="0.25">
      <c r="A15" s="3" t="s">
        <v>48</v>
      </c>
      <c r="B15" s="4" t="s">
        <v>167</v>
      </c>
      <c r="C15" s="4" t="s">
        <v>168</v>
      </c>
      <c r="D15" s="3" t="s">
        <v>160</v>
      </c>
      <c r="E15" s="3" t="s">
        <v>160</v>
      </c>
      <c r="F15" s="5">
        <v>4.5697017000000004</v>
      </c>
      <c r="G15" s="5">
        <v>-74.127939999999995</v>
      </c>
      <c r="H15" s="8" t="s">
        <v>131</v>
      </c>
      <c r="I15" s="4" t="s">
        <v>140</v>
      </c>
      <c r="J15" s="3">
        <f>COUNTIF(Votantes!$L$2:$L$61,A15)</f>
        <v>1</v>
      </c>
      <c r="K15" s="3">
        <v>1</v>
      </c>
      <c r="L15" s="9" t="s">
        <v>13</v>
      </c>
    </row>
    <row r="16" spans="1:12" ht="25.5" x14ac:dyDescent="0.25">
      <c r="A16" s="3" t="s">
        <v>34</v>
      </c>
      <c r="B16" s="4" t="s">
        <v>169</v>
      </c>
      <c r="C16" s="4" t="s">
        <v>170</v>
      </c>
      <c r="D16" s="3" t="s">
        <v>160</v>
      </c>
      <c r="E16" s="3" t="s">
        <v>160</v>
      </c>
      <c r="F16" s="5">
        <v>4.6714469000000003</v>
      </c>
      <c r="G16" s="5">
        <v>-74.155915500000006</v>
      </c>
      <c r="H16" s="11" t="s">
        <v>165</v>
      </c>
      <c r="I16" s="4" t="s">
        <v>171</v>
      </c>
      <c r="J16" s="3">
        <f>COUNTIF(Votantes!$L$2:$L$61,A16)</f>
        <v>1</v>
      </c>
      <c r="K16" s="3">
        <v>1</v>
      </c>
      <c r="L16" s="9" t="s">
        <v>13</v>
      </c>
    </row>
    <row r="17" spans="1:12" x14ac:dyDescent="0.25">
      <c r="A17" s="3" t="s">
        <v>25</v>
      </c>
      <c r="B17" s="4" t="s">
        <v>172</v>
      </c>
      <c r="C17" s="4" t="s">
        <v>173</v>
      </c>
      <c r="D17" s="3" t="s">
        <v>174</v>
      </c>
      <c r="E17" s="3" t="s">
        <v>175</v>
      </c>
      <c r="F17" s="5">
        <v>9.2940664999999996</v>
      </c>
      <c r="G17" s="5">
        <v>-75.376872399999996</v>
      </c>
      <c r="H17" s="8" t="s">
        <v>131</v>
      </c>
      <c r="I17" s="4" t="s">
        <v>140</v>
      </c>
      <c r="J17" s="3">
        <f>COUNTIF(Votantes!$L$2:$L$61,A17)</f>
        <v>1</v>
      </c>
      <c r="K17" s="3">
        <v>1</v>
      </c>
      <c r="L17" s="9" t="s">
        <v>13</v>
      </c>
    </row>
    <row r="18" spans="1:12" x14ac:dyDescent="0.25">
      <c r="A18" s="3" t="s">
        <v>32</v>
      </c>
      <c r="B18" s="4" t="s">
        <v>176</v>
      </c>
      <c r="C18" s="4" t="s">
        <v>177</v>
      </c>
      <c r="D18" s="3" t="s">
        <v>178</v>
      </c>
      <c r="E18" s="3" t="s">
        <v>179</v>
      </c>
      <c r="F18" s="5">
        <v>4.8028212999999997</v>
      </c>
      <c r="G18" s="5">
        <v>-75.744321900000003</v>
      </c>
      <c r="H18" s="8" t="s">
        <v>131</v>
      </c>
      <c r="I18" s="4" t="s">
        <v>140</v>
      </c>
      <c r="J18" s="3">
        <f>COUNTIF(Votantes!$L$2:$L$61,A18)</f>
        <v>1</v>
      </c>
      <c r="K18" s="3">
        <v>1</v>
      </c>
      <c r="L18" s="9" t="s">
        <v>13</v>
      </c>
    </row>
    <row r="19" spans="1:12" x14ac:dyDescent="0.25">
      <c r="A19" s="3" t="s">
        <v>51</v>
      </c>
      <c r="B19" s="4" t="s">
        <v>180</v>
      </c>
      <c r="C19" s="4" t="s">
        <v>181</v>
      </c>
      <c r="D19" s="3" t="s">
        <v>182</v>
      </c>
      <c r="E19" s="3" t="s">
        <v>183</v>
      </c>
      <c r="F19" s="5">
        <v>6.1276899</v>
      </c>
      <c r="G19" s="5">
        <v>-72.335172900000003</v>
      </c>
      <c r="H19" s="11" t="s">
        <v>165</v>
      </c>
      <c r="I19" s="4" t="s">
        <v>184</v>
      </c>
      <c r="J19" s="3">
        <f>COUNTIF(Votantes!$L$2:$L$61,A19)</f>
        <v>1</v>
      </c>
      <c r="K19" s="3">
        <v>1</v>
      </c>
      <c r="L19" s="9" t="s">
        <v>13</v>
      </c>
    </row>
    <row r="20" spans="1:12" x14ac:dyDescent="0.25">
      <c r="A20" s="3" t="s">
        <v>54</v>
      </c>
      <c r="B20" s="4" t="s">
        <v>185</v>
      </c>
      <c r="C20" s="4" t="s">
        <v>186</v>
      </c>
      <c r="D20" s="3" t="s">
        <v>187</v>
      </c>
      <c r="E20" s="3" t="s">
        <v>188</v>
      </c>
      <c r="F20" s="5">
        <v>41.388081700000001</v>
      </c>
      <c r="G20" s="5">
        <v>2.1632142999999999</v>
      </c>
      <c r="H20" s="8" t="s">
        <v>131</v>
      </c>
      <c r="I20" s="4" t="s">
        <v>189</v>
      </c>
      <c r="J20" s="3">
        <f>COUNTIF(Votantes!$L$2:$L$61,A20)</f>
        <v>1</v>
      </c>
      <c r="K20" s="3">
        <v>1</v>
      </c>
      <c r="L20" s="9" t="s">
        <v>13</v>
      </c>
    </row>
    <row r="21" spans="1:12" ht="25.5" x14ac:dyDescent="0.25">
      <c r="A21" s="3" t="s">
        <v>56</v>
      </c>
      <c r="B21" s="4" t="s">
        <v>190</v>
      </c>
      <c r="C21" s="4" t="s">
        <v>191</v>
      </c>
      <c r="D21" s="3" t="s">
        <v>160</v>
      </c>
      <c r="E21" s="3" t="s">
        <v>160</v>
      </c>
      <c r="F21" s="5">
        <v>4.6320538000000004</v>
      </c>
      <c r="G21" s="5">
        <v>-74.187357500000005</v>
      </c>
      <c r="H21" s="8" t="s">
        <v>131</v>
      </c>
      <c r="I21" s="4" t="s">
        <v>192</v>
      </c>
      <c r="J21" s="3">
        <f>COUNTIF(Votantes!$L$2:$L$61,A21)</f>
        <v>1</v>
      </c>
      <c r="K21" s="3">
        <v>1</v>
      </c>
      <c r="L21" s="9" t="s">
        <v>13</v>
      </c>
    </row>
    <row r="22" spans="1:12" x14ac:dyDescent="0.25">
      <c r="A22" s="3" t="s">
        <v>58</v>
      </c>
      <c r="B22" s="4" t="s">
        <v>193</v>
      </c>
      <c r="C22" s="4" t="s">
        <v>194</v>
      </c>
      <c r="D22" s="3" t="s">
        <v>129</v>
      </c>
      <c r="E22" s="3" t="s">
        <v>130</v>
      </c>
      <c r="F22" s="5">
        <v>4.5791541000000002</v>
      </c>
      <c r="G22" s="5">
        <v>-74.204447999999999</v>
      </c>
      <c r="H22" s="8" t="s">
        <v>131</v>
      </c>
      <c r="I22" s="4" t="s">
        <v>140</v>
      </c>
      <c r="J22" s="3">
        <f>COUNTIF(Votantes!$L$2:$L$61,A22)</f>
        <v>2</v>
      </c>
      <c r="K22" s="3">
        <v>2</v>
      </c>
      <c r="L22" s="9" t="s">
        <v>13</v>
      </c>
    </row>
    <row r="23" spans="1:12" ht="25.5" x14ac:dyDescent="0.25">
      <c r="A23" s="3" t="s">
        <v>66</v>
      </c>
      <c r="B23" s="4" t="s">
        <v>195</v>
      </c>
      <c r="C23" s="4" t="s">
        <v>194</v>
      </c>
      <c r="D23" s="3" t="s">
        <v>129</v>
      </c>
      <c r="E23" s="3" t="s">
        <v>130</v>
      </c>
      <c r="F23" s="5">
        <v>4.5791541000000002</v>
      </c>
      <c r="G23" s="5">
        <v>-74.204447999999999</v>
      </c>
      <c r="H23" s="8" t="s">
        <v>131</v>
      </c>
      <c r="I23" s="4" t="s">
        <v>196</v>
      </c>
      <c r="J23" s="3">
        <f>COUNTIF(Votantes!$L$2:$L$61,A23)</f>
        <v>1</v>
      </c>
      <c r="K23" s="3">
        <v>1</v>
      </c>
      <c r="L23" s="9" t="s">
        <v>13</v>
      </c>
    </row>
    <row r="24" spans="1:12" x14ac:dyDescent="0.25">
      <c r="A24" s="3" t="s">
        <v>60</v>
      </c>
      <c r="B24" s="4" t="s">
        <v>197</v>
      </c>
      <c r="C24" s="4" t="s">
        <v>198</v>
      </c>
      <c r="D24" s="3" t="s">
        <v>129</v>
      </c>
      <c r="E24" s="3" t="s">
        <v>130</v>
      </c>
      <c r="F24" s="5">
        <v>4.5950452999999998</v>
      </c>
      <c r="G24" s="5">
        <v>-74.194055500000005</v>
      </c>
      <c r="H24" s="8" t="s">
        <v>131</v>
      </c>
      <c r="I24" s="4" t="s">
        <v>132</v>
      </c>
      <c r="J24" s="3">
        <f>COUNTIF(Votantes!$L$2:$L$61,A24)</f>
        <v>1</v>
      </c>
      <c r="K24" s="3">
        <v>1</v>
      </c>
      <c r="L24" s="9" t="s">
        <v>13</v>
      </c>
    </row>
    <row r="25" spans="1:12" ht="25.5" x14ac:dyDescent="0.25">
      <c r="A25" s="3" t="s">
        <v>62</v>
      </c>
      <c r="B25" s="4" t="s">
        <v>199</v>
      </c>
      <c r="C25" s="4" t="s">
        <v>200</v>
      </c>
      <c r="D25" s="3" t="s">
        <v>160</v>
      </c>
      <c r="E25" s="3" t="s">
        <v>160</v>
      </c>
      <c r="F25" s="5">
        <v>4.5981490999999997</v>
      </c>
      <c r="G25" s="5">
        <v>-74.082625300000004</v>
      </c>
      <c r="H25" s="8" t="s">
        <v>131</v>
      </c>
      <c r="I25" s="4" t="s">
        <v>201</v>
      </c>
      <c r="J25" s="3">
        <f>COUNTIF(Votantes!$L$2:$L$61,A25)</f>
        <v>2</v>
      </c>
      <c r="K25" s="3">
        <v>2</v>
      </c>
      <c r="L25" s="9" t="s">
        <v>13</v>
      </c>
    </row>
    <row r="26" spans="1:12" x14ac:dyDescent="0.25">
      <c r="A26" s="3" t="s">
        <v>64</v>
      </c>
      <c r="B26" s="4" t="s">
        <v>202</v>
      </c>
      <c r="C26" s="4" t="s">
        <v>203</v>
      </c>
      <c r="D26" s="3" t="s">
        <v>160</v>
      </c>
      <c r="E26" s="3" t="s">
        <v>160</v>
      </c>
      <c r="F26" s="5">
        <v>4.5659317000000001</v>
      </c>
      <c r="G26" s="5">
        <v>-74.094819000000001</v>
      </c>
      <c r="H26" s="8" t="s">
        <v>131</v>
      </c>
      <c r="I26" s="4" t="s">
        <v>204</v>
      </c>
      <c r="J26" s="3">
        <f>COUNTIF(Votantes!$L$2:$L$61,A26)</f>
        <v>1</v>
      </c>
      <c r="K26" s="3">
        <v>1</v>
      </c>
      <c r="L26" s="9" t="s">
        <v>13</v>
      </c>
    </row>
    <row r="27" spans="1:12" x14ac:dyDescent="0.25">
      <c r="A27" s="3" t="s">
        <v>69</v>
      </c>
      <c r="B27" s="4" t="s">
        <v>205</v>
      </c>
      <c r="C27" s="4" t="s">
        <v>206</v>
      </c>
      <c r="D27" s="3" t="s">
        <v>160</v>
      </c>
      <c r="E27" s="3" t="s">
        <v>160</v>
      </c>
      <c r="F27" s="5">
        <v>4.6708499999999997</v>
      </c>
      <c r="G27" s="5">
        <v>-74.121207400000003</v>
      </c>
      <c r="H27" s="8" t="s">
        <v>131</v>
      </c>
      <c r="I27" s="4" t="s">
        <v>140</v>
      </c>
      <c r="J27" s="3">
        <f>COUNTIF(Votantes!$L$2:$L$61,A27)</f>
        <v>1</v>
      </c>
      <c r="K27" s="3">
        <v>1</v>
      </c>
      <c r="L27" s="9" t="s">
        <v>13</v>
      </c>
    </row>
    <row r="28" spans="1:12" x14ac:dyDescent="0.25">
      <c r="A28" s="3" t="s">
        <v>72</v>
      </c>
      <c r="B28" s="4" t="s">
        <v>207</v>
      </c>
      <c r="C28" s="4" t="s">
        <v>208</v>
      </c>
      <c r="D28" s="3" t="s">
        <v>129</v>
      </c>
      <c r="E28" s="3" t="s">
        <v>130</v>
      </c>
      <c r="F28" s="5">
        <v>4.5836645000000003</v>
      </c>
      <c r="G28" s="5">
        <v>-74.217831200000006</v>
      </c>
      <c r="H28" s="8" t="s">
        <v>131</v>
      </c>
      <c r="I28" s="4" t="s">
        <v>132</v>
      </c>
      <c r="J28" s="3">
        <f>COUNTIF(Votantes!$L$2:$L$61,A28)</f>
        <v>1</v>
      </c>
      <c r="K28" s="3">
        <v>1</v>
      </c>
      <c r="L28" s="9" t="s">
        <v>13</v>
      </c>
    </row>
    <row r="29" spans="1:12" ht="25.5" x14ac:dyDescent="0.25">
      <c r="A29" s="3" t="s">
        <v>74</v>
      </c>
      <c r="B29" s="4" t="s">
        <v>209</v>
      </c>
      <c r="C29" s="4" t="s">
        <v>210</v>
      </c>
      <c r="D29" s="3" t="s">
        <v>129</v>
      </c>
      <c r="E29" s="3" t="s">
        <v>130</v>
      </c>
      <c r="F29" s="5">
        <v>4.5831970999999996</v>
      </c>
      <c r="G29" s="5">
        <v>-74.218611499999994</v>
      </c>
      <c r="H29" s="8" t="s">
        <v>131</v>
      </c>
      <c r="I29" s="4" t="s">
        <v>140</v>
      </c>
      <c r="J29" s="3">
        <f>COUNTIF(Votantes!$L$2:$L$61,A29)</f>
        <v>1</v>
      </c>
      <c r="K29" s="3">
        <v>1</v>
      </c>
      <c r="L29" s="9" t="s">
        <v>13</v>
      </c>
    </row>
    <row r="30" spans="1:12" ht="25.5" x14ac:dyDescent="0.25">
      <c r="A30" s="3" t="s">
        <v>78</v>
      </c>
      <c r="B30" s="4" t="s">
        <v>211</v>
      </c>
      <c r="C30" s="4" t="s">
        <v>212</v>
      </c>
      <c r="D30" s="3" t="s">
        <v>213</v>
      </c>
      <c r="E30" s="3" t="s">
        <v>214</v>
      </c>
      <c r="F30" s="5">
        <v>3.4275856999999998</v>
      </c>
      <c r="G30" s="5">
        <v>-76.480941900000005</v>
      </c>
      <c r="H30" s="8" t="s">
        <v>131</v>
      </c>
      <c r="I30" s="4" t="s">
        <v>215</v>
      </c>
      <c r="J30" s="3">
        <f>COUNTIF(Votantes!$L$2:$L$61,A30)</f>
        <v>1</v>
      </c>
      <c r="K30" s="3">
        <v>1</v>
      </c>
      <c r="L30" s="9" t="s">
        <v>13</v>
      </c>
    </row>
    <row r="31" spans="1:12" x14ac:dyDescent="0.25">
      <c r="A31" s="3" t="s">
        <v>80</v>
      </c>
      <c r="B31" s="4" t="s">
        <v>216</v>
      </c>
      <c r="C31" s="4" t="s">
        <v>217</v>
      </c>
      <c r="D31" s="3" t="s">
        <v>218</v>
      </c>
      <c r="E31" s="3" t="s">
        <v>130</v>
      </c>
      <c r="F31" s="5">
        <v>4.4933690000000004</v>
      </c>
      <c r="G31" s="5">
        <v>-74.257975099999996</v>
      </c>
      <c r="H31" s="11" t="s">
        <v>165</v>
      </c>
      <c r="I31" s="4" t="s">
        <v>219</v>
      </c>
      <c r="J31" s="3">
        <f>COUNTIF(Votantes!$L$2:$L$61,A31)</f>
        <v>1</v>
      </c>
      <c r="K31" s="3">
        <v>1</v>
      </c>
      <c r="L31" s="9" t="s">
        <v>13</v>
      </c>
    </row>
    <row r="32" spans="1:12" x14ac:dyDescent="0.25">
      <c r="A32" s="3" t="s">
        <v>82</v>
      </c>
      <c r="B32" s="4" t="s">
        <v>220</v>
      </c>
      <c r="C32" s="4" t="s">
        <v>221</v>
      </c>
      <c r="D32" s="3" t="s">
        <v>222</v>
      </c>
      <c r="E32" s="3" t="s">
        <v>223</v>
      </c>
      <c r="F32" s="5">
        <v>6.2740533000000003</v>
      </c>
      <c r="G32" s="5">
        <v>-75.563604499999997</v>
      </c>
      <c r="H32" s="8" t="s">
        <v>131</v>
      </c>
      <c r="I32" s="4" t="s">
        <v>140</v>
      </c>
      <c r="J32" s="3">
        <f>COUNTIF(Votantes!$L$2:$L$61,A32)</f>
        <v>1</v>
      </c>
      <c r="K32" s="3">
        <v>1</v>
      </c>
      <c r="L32" s="9" t="s">
        <v>13</v>
      </c>
    </row>
    <row r="33" spans="1:12" ht="25.5" x14ac:dyDescent="0.25">
      <c r="A33" s="3" t="s">
        <v>84</v>
      </c>
      <c r="B33" s="4" t="s">
        <v>224</v>
      </c>
      <c r="C33" s="4" t="s">
        <v>225</v>
      </c>
      <c r="D33" s="3" t="s">
        <v>226</v>
      </c>
      <c r="E33" s="3" t="s">
        <v>214</v>
      </c>
      <c r="F33" s="5">
        <v>3.5867274999999998</v>
      </c>
      <c r="G33" s="5">
        <v>-76.493040800000003</v>
      </c>
      <c r="H33" s="10" t="s">
        <v>147</v>
      </c>
      <c r="I33" s="4" t="s">
        <v>227</v>
      </c>
      <c r="J33" s="3">
        <f>COUNTIF(Votantes!$L$2:$L$61,A33)</f>
        <v>1</v>
      </c>
      <c r="K33" s="3">
        <v>1</v>
      </c>
      <c r="L33" s="9" t="s">
        <v>13</v>
      </c>
    </row>
    <row r="34" spans="1:12" ht="25.5" x14ac:dyDescent="0.25">
      <c r="A34" s="3" t="s">
        <v>86</v>
      </c>
      <c r="B34" s="4" t="s">
        <v>228</v>
      </c>
      <c r="C34" s="4" t="s">
        <v>229</v>
      </c>
      <c r="D34" s="3" t="s">
        <v>129</v>
      </c>
      <c r="E34" s="3" t="s">
        <v>130</v>
      </c>
      <c r="F34" s="5">
        <v>4.5756570999999999</v>
      </c>
      <c r="G34" s="5">
        <v>-74.2456952</v>
      </c>
      <c r="H34" s="11" t="s">
        <v>165</v>
      </c>
      <c r="I34" s="4" t="s">
        <v>230</v>
      </c>
      <c r="J34" s="3">
        <f>COUNTIF(Votantes!$L$2:$L$61,A34)</f>
        <v>1</v>
      </c>
      <c r="K34" s="3">
        <v>1</v>
      </c>
      <c r="L34" s="9" t="s">
        <v>13</v>
      </c>
    </row>
    <row r="35" spans="1:12" x14ac:dyDescent="0.25">
      <c r="A35" s="3" t="s">
        <v>88</v>
      </c>
      <c r="B35" s="4" t="s">
        <v>231</v>
      </c>
      <c r="C35" s="4" t="s">
        <v>232</v>
      </c>
      <c r="D35" s="3" t="s">
        <v>160</v>
      </c>
      <c r="E35" s="3" t="s">
        <v>160</v>
      </c>
      <c r="F35" s="5">
        <v>4.6249650000000004</v>
      </c>
      <c r="G35" s="5">
        <v>-74.180923399999998</v>
      </c>
      <c r="H35" s="8" t="s">
        <v>131</v>
      </c>
      <c r="I35" s="4" t="s">
        <v>140</v>
      </c>
      <c r="J35" s="3">
        <f>COUNTIF(Votantes!$L$2:$L$61,A35)</f>
        <v>2</v>
      </c>
      <c r="K35" s="3">
        <v>2</v>
      </c>
      <c r="L35" s="9" t="s">
        <v>13</v>
      </c>
    </row>
    <row r="36" spans="1:12" ht="25.5" x14ac:dyDescent="0.25">
      <c r="A36" s="3" t="s">
        <v>91</v>
      </c>
      <c r="B36" s="4" t="s">
        <v>233</v>
      </c>
      <c r="C36" s="4" t="s">
        <v>234</v>
      </c>
      <c r="D36" s="3" t="s">
        <v>129</v>
      </c>
      <c r="E36" s="3" t="s">
        <v>130</v>
      </c>
      <c r="F36" s="5">
        <v>4.5880355000000002</v>
      </c>
      <c r="G36" s="5">
        <v>-74.182566600000001</v>
      </c>
      <c r="H36" s="8" t="s">
        <v>131</v>
      </c>
      <c r="I36" s="4" t="s">
        <v>140</v>
      </c>
      <c r="J36" s="3">
        <f>COUNTIF(Votantes!$L$2:$L$61,A36)</f>
        <v>1</v>
      </c>
      <c r="K36" s="3">
        <v>1</v>
      </c>
      <c r="L36" s="9" t="s">
        <v>13</v>
      </c>
    </row>
    <row r="37" spans="1:12" ht="25.5" x14ac:dyDescent="0.25">
      <c r="A37" s="3" t="s">
        <v>94</v>
      </c>
      <c r="B37" s="4" t="s">
        <v>235</v>
      </c>
      <c r="C37" s="4" t="s">
        <v>236</v>
      </c>
      <c r="D37" s="3" t="s">
        <v>187</v>
      </c>
      <c r="E37" s="3" t="s">
        <v>188</v>
      </c>
      <c r="F37" s="5">
        <v>40.417749999999998</v>
      </c>
      <c r="G37" s="5">
        <v>-3.6996600000000002</v>
      </c>
      <c r="H37" s="11" t="s">
        <v>165</v>
      </c>
      <c r="I37" s="4" t="s">
        <v>237</v>
      </c>
      <c r="J37" s="3">
        <f>COUNTIF(Votantes!$L$2:$L$61,A37)</f>
        <v>1</v>
      </c>
      <c r="K37" s="3">
        <v>1</v>
      </c>
      <c r="L37" s="9" t="s">
        <v>13</v>
      </c>
    </row>
    <row r="38" spans="1:12" ht="25.5" x14ac:dyDescent="0.25">
      <c r="A38" s="3" t="s">
        <v>96</v>
      </c>
      <c r="B38" s="4" t="s">
        <v>238</v>
      </c>
      <c r="C38" s="4" t="s">
        <v>239</v>
      </c>
      <c r="D38" s="3" t="s">
        <v>129</v>
      </c>
      <c r="E38" s="3" t="s">
        <v>130</v>
      </c>
      <c r="F38" s="5">
        <v>4.5439600000000002</v>
      </c>
      <c r="G38" s="5">
        <v>-74.275390000000002</v>
      </c>
      <c r="H38" s="11" t="s">
        <v>165</v>
      </c>
      <c r="I38" s="4" t="s">
        <v>240</v>
      </c>
      <c r="J38" s="3">
        <f>COUNTIF(Votantes!$L$2:$L$61,A38)</f>
        <v>1</v>
      </c>
      <c r="K38" s="3">
        <v>1</v>
      </c>
      <c r="L38" s="9" t="s">
        <v>13</v>
      </c>
    </row>
    <row r="39" spans="1:12" ht="25.5" x14ac:dyDescent="0.25">
      <c r="A39" s="3" t="s">
        <v>98</v>
      </c>
      <c r="B39" s="4" t="s">
        <v>241</v>
      </c>
      <c r="C39" s="4" t="s">
        <v>242</v>
      </c>
      <c r="D39" s="3" t="s">
        <v>243</v>
      </c>
      <c r="E39" s="3" t="s">
        <v>130</v>
      </c>
      <c r="F39" s="5">
        <v>4.8546287000000001</v>
      </c>
      <c r="G39" s="5">
        <v>-74.260870400000002</v>
      </c>
      <c r="H39" s="11" t="s">
        <v>165</v>
      </c>
      <c r="I39" s="4" t="s">
        <v>244</v>
      </c>
      <c r="J39" s="3">
        <f>COUNTIF(Votantes!$L$2:$L$61,A39)</f>
        <v>1</v>
      </c>
      <c r="K39" s="3">
        <v>1</v>
      </c>
      <c r="L39" s="9" t="s">
        <v>13</v>
      </c>
    </row>
    <row r="40" spans="1:12" x14ac:dyDescent="0.25">
      <c r="A40" s="3" t="s">
        <v>100</v>
      </c>
      <c r="B40" s="4" t="s">
        <v>245</v>
      </c>
      <c r="C40" s="4" t="s">
        <v>246</v>
      </c>
      <c r="D40" s="3" t="s">
        <v>160</v>
      </c>
      <c r="E40" s="3" t="s">
        <v>160</v>
      </c>
      <c r="F40" s="5">
        <v>4.6238951999999998</v>
      </c>
      <c r="G40" s="5">
        <v>-74.122069100000004</v>
      </c>
      <c r="H40" s="8" t="s">
        <v>131</v>
      </c>
      <c r="I40" s="4" t="s">
        <v>140</v>
      </c>
      <c r="J40" s="3">
        <f>COUNTIF(Votantes!$L$2:$L$61,A40)</f>
        <v>1</v>
      </c>
      <c r="K40" s="3">
        <v>1</v>
      </c>
      <c r="L40" s="9" t="s">
        <v>13</v>
      </c>
    </row>
    <row r="41" spans="1:12" ht="25.5" x14ac:dyDescent="0.25">
      <c r="A41" s="3" t="s">
        <v>102</v>
      </c>
      <c r="B41" s="4" t="s">
        <v>247</v>
      </c>
      <c r="C41" s="4" t="s">
        <v>248</v>
      </c>
      <c r="D41" s="3" t="s">
        <v>129</v>
      </c>
      <c r="E41" s="3" t="s">
        <v>130</v>
      </c>
      <c r="F41" s="5">
        <v>4.5728030999999998</v>
      </c>
      <c r="G41" s="5">
        <v>-74.242497799999995</v>
      </c>
      <c r="H41" s="11" t="s">
        <v>165</v>
      </c>
      <c r="I41" s="4" t="s">
        <v>249</v>
      </c>
      <c r="J41" s="3">
        <f>COUNTIF(Votantes!$L$2:$L$61,A41)</f>
        <v>1</v>
      </c>
      <c r="K41" s="3">
        <v>1</v>
      </c>
      <c r="L41" s="9" t="s">
        <v>13</v>
      </c>
    </row>
    <row r="42" spans="1:12" x14ac:dyDescent="0.25">
      <c r="A42" s="3" t="s">
        <v>104</v>
      </c>
      <c r="B42" s="4" t="s">
        <v>250</v>
      </c>
      <c r="C42" s="4" t="s">
        <v>251</v>
      </c>
      <c r="D42" s="3" t="s">
        <v>160</v>
      </c>
      <c r="E42" s="3" t="s">
        <v>160</v>
      </c>
      <c r="F42" s="5">
        <v>4.6324059999999996</v>
      </c>
      <c r="G42" s="5">
        <v>-74.127012800000003</v>
      </c>
      <c r="H42" s="8" t="s">
        <v>131</v>
      </c>
      <c r="I42" s="4" t="s">
        <v>252</v>
      </c>
      <c r="J42" s="3">
        <f>COUNTIF(Votantes!$L$2:$L$61,A42)</f>
        <v>1</v>
      </c>
      <c r="K42" s="3">
        <v>1</v>
      </c>
      <c r="L42" s="9" t="s">
        <v>13</v>
      </c>
    </row>
    <row r="43" spans="1:12" ht="25.5" x14ac:dyDescent="0.25">
      <c r="A43" s="3" t="s">
        <v>107</v>
      </c>
      <c r="B43" s="4" t="s">
        <v>253</v>
      </c>
      <c r="C43" s="4" t="s">
        <v>254</v>
      </c>
      <c r="D43" s="3" t="s">
        <v>160</v>
      </c>
      <c r="E43" s="3" t="s">
        <v>160</v>
      </c>
      <c r="F43" s="5">
        <v>4.6139291</v>
      </c>
      <c r="G43" s="5">
        <v>-74.209820500000006</v>
      </c>
      <c r="H43" s="8" t="s">
        <v>131</v>
      </c>
      <c r="I43" s="4" t="s">
        <v>255</v>
      </c>
      <c r="J43" s="3">
        <f>COUNTIF(Votantes!$L$2:$L$61,A43)</f>
        <v>1</v>
      </c>
      <c r="K43" s="3">
        <v>1</v>
      </c>
      <c r="L43" s="9" t="s">
        <v>13</v>
      </c>
    </row>
    <row r="44" spans="1:12" x14ac:dyDescent="0.25">
      <c r="A44" s="3" t="s">
        <v>109</v>
      </c>
      <c r="B44" s="4" t="s">
        <v>256</v>
      </c>
      <c r="C44" s="4" t="s">
        <v>257</v>
      </c>
      <c r="D44" s="3" t="s">
        <v>258</v>
      </c>
      <c r="E44" s="3" t="s">
        <v>130</v>
      </c>
      <c r="F44" s="5">
        <v>5.0328017999999997</v>
      </c>
      <c r="G44" s="5">
        <v>-73.995932800000006</v>
      </c>
      <c r="H44" s="8" t="s">
        <v>131</v>
      </c>
      <c r="I44" s="4" t="s">
        <v>140</v>
      </c>
      <c r="J44" s="3">
        <f>COUNTIF(Votantes!$L$2:$L$61,A44)</f>
        <v>1</v>
      </c>
      <c r="K44" s="3">
        <v>1</v>
      </c>
      <c r="L44" s="9" t="s">
        <v>13</v>
      </c>
    </row>
    <row r="45" spans="1:12" x14ac:dyDescent="0.25">
      <c r="A45" s="3" t="s">
        <v>111</v>
      </c>
      <c r="B45" s="4" t="s">
        <v>259</v>
      </c>
      <c r="C45" s="4" t="s">
        <v>260</v>
      </c>
      <c r="D45" s="3" t="s">
        <v>258</v>
      </c>
      <c r="E45" s="3" t="s">
        <v>130</v>
      </c>
      <c r="F45" s="5">
        <v>5.0279743999999997</v>
      </c>
      <c r="G45" s="5">
        <v>-74.007978499999993</v>
      </c>
      <c r="H45" s="8" t="s">
        <v>131</v>
      </c>
      <c r="I45" s="4" t="s">
        <v>140</v>
      </c>
      <c r="J45" s="3">
        <f>COUNTIF(Votantes!$L$2:$L$61,A45)</f>
        <v>1</v>
      </c>
      <c r="K45" s="3">
        <v>1</v>
      </c>
      <c r="L45" s="9" t="s">
        <v>13</v>
      </c>
    </row>
    <row r="46" spans="1:12" ht="25.5" x14ac:dyDescent="0.25">
      <c r="A46" s="3" t="s">
        <v>113</v>
      </c>
      <c r="B46" s="4" t="s">
        <v>261</v>
      </c>
      <c r="C46" s="4" t="s">
        <v>262</v>
      </c>
      <c r="D46" s="3" t="s">
        <v>263</v>
      </c>
      <c r="E46" s="3" t="s">
        <v>130</v>
      </c>
      <c r="F46" s="5">
        <v>4.9070308999999996</v>
      </c>
      <c r="G46" s="5">
        <v>-73.943684599999997</v>
      </c>
      <c r="H46" s="10" t="s">
        <v>147</v>
      </c>
      <c r="I46" s="4" t="s">
        <v>264</v>
      </c>
      <c r="J46" s="3">
        <f>COUNTIF(Votantes!$L$2:$L$61,A46)</f>
        <v>1</v>
      </c>
      <c r="K46" s="3">
        <v>1</v>
      </c>
      <c r="L46" s="9" t="s">
        <v>13</v>
      </c>
    </row>
    <row r="47" spans="1:12" ht="25.5" x14ac:dyDescent="0.25">
      <c r="A47" s="3" t="s">
        <v>115</v>
      </c>
      <c r="B47" s="4" t="s">
        <v>265</v>
      </c>
      <c r="C47" s="4" t="s">
        <v>266</v>
      </c>
      <c r="D47" s="3" t="s">
        <v>129</v>
      </c>
      <c r="E47" s="3" t="s">
        <v>130</v>
      </c>
      <c r="F47" s="5">
        <v>4.5847439999999997</v>
      </c>
      <c r="G47" s="5">
        <v>-74.217161000000004</v>
      </c>
      <c r="H47" s="8" t="s">
        <v>131</v>
      </c>
      <c r="I47" s="4" t="s">
        <v>267</v>
      </c>
      <c r="J47" s="3">
        <f>COUNTIF(Votantes!$L$2:$L$61,A47)</f>
        <v>1</v>
      </c>
      <c r="K47" s="3">
        <v>1</v>
      </c>
      <c r="L47" s="9" t="s">
        <v>13</v>
      </c>
    </row>
    <row r="48" spans="1:12" x14ac:dyDescent="0.25">
      <c r="A48" s="3" t="s">
        <v>117</v>
      </c>
      <c r="B48" s="4" t="s">
        <v>268</v>
      </c>
      <c r="C48" s="4" t="s">
        <v>269</v>
      </c>
      <c r="D48" s="3" t="s">
        <v>129</v>
      </c>
      <c r="E48" s="3" t="s">
        <v>130</v>
      </c>
      <c r="F48" s="5">
        <v>4.593502</v>
      </c>
      <c r="G48" s="5">
        <v>-74.194404599999999</v>
      </c>
      <c r="H48" s="8" t="s">
        <v>131</v>
      </c>
      <c r="I48" s="4" t="s">
        <v>140</v>
      </c>
      <c r="J48" s="3">
        <f>COUNTIF(Votantes!$L$2:$L$61,A48)</f>
        <v>1</v>
      </c>
      <c r="K48" s="3">
        <v>1</v>
      </c>
      <c r="L48" s="9" t="s">
        <v>13</v>
      </c>
    </row>
    <row r="49" spans="1:12" x14ac:dyDescent="0.25">
      <c r="A49" s="3" t="s">
        <v>119</v>
      </c>
      <c r="B49" s="4" t="s">
        <v>270</v>
      </c>
      <c r="C49" s="4" t="s">
        <v>271</v>
      </c>
      <c r="D49" s="3" t="s">
        <v>129</v>
      </c>
      <c r="E49" s="3" t="s">
        <v>130</v>
      </c>
      <c r="F49" s="5">
        <v>4.5770727999999998</v>
      </c>
      <c r="G49" s="5">
        <v>-74.213906100000003</v>
      </c>
      <c r="H49" s="11" t="s">
        <v>165</v>
      </c>
      <c r="I49" s="4" t="s">
        <v>272</v>
      </c>
      <c r="J49" s="3">
        <f>COUNTIF(Votantes!$L$2:$L$61,A49)</f>
        <v>1</v>
      </c>
      <c r="K49" s="3">
        <v>1</v>
      </c>
      <c r="L49" s="9" t="s">
        <v>13</v>
      </c>
    </row>
    <row r="50" spans="1:12" ht="25.5" x14ac:dyDescent="0.25">
      <c r="A50" s="3" t="s">
        <v>121</v>
      </c>
      <c r="B50" s="4" t="s">
        <v>273</v>
      </c>
      <c r="C50" s="4" t="s">
        <v>274</v>
      </c>
      <c r="D50" s="3" t="s">
        <v>160</v>
      </c>
      <c r="E50" s="3" t="s">
        <v>160</v>
      </c>
      <c r="F50" s="5">
        <v>4.6550314000000004</v>
      </c>
      <c r="G50" s="5">
        <v>-74.076467399999999</v>
      </c>
      <c r="H50" s="11" t="s">
        <v>165</v>
      </c>
      <c r="I50" s="4" t="s">
        <v>275</v>
      </c>
      <c r="J50" s="3">
        <f>COUNTIF(Votantes!$L$2:$L$61,A50)</f>
        <v>1</v>
      </c>
      <c r="K50" s="3">
        <v>1</v>
      </c>
      <c r="L50" s="9" t="s">
        <v>13</v>
      </c>
    </row>
    <row r="51" spans="1:12" x14ac:dyDescent="0.25">
      <c r="I51" s="12" t="s">
        <v>276</v>
      </c>
      <c r="J51" s="12">
        <f>SUM(J2:J50)</f>
        <v>60</v>
      </c>
    </row>
    <row r="53" spans="1:12" x14ac:dyDescent="0.25">
      <c r="A53" s="7" t="s">
        <v>277</v>
      </c>
    </row>
  </sheetData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L13" r:id="rId12" xr:uid="{00000000-0004-0000-0100-00000B000000}"/>
    <hyperlink ref="L14" r:id="rId13" xr:uid="{00000000-0004-0000-0100-00000C000000}"/>
    <hyperlink ref="L15" r:id="rId14" xr:uid="{00000000-0004-0000-0100-00000D000000}"/>
    <hyperlink ref="L16" r:id="rId15" xr:uid="{00000000-0004-0000-0100-00000E000000}"/>
    <hyperlink ref="L17" r:id="rId16" xr:uid="{00000000-0004-0000-0100-00000F000000}"/>
    <hyperlink ref="L18" r:id="rId17" xr:uid="{00000000-0004-0000-0100-000010000000}"/>
    <hyperlink ref="L19" r:id="rId18" xr:uid="{00000000-0004-0000-0100-000011000000}"/>
    <hyperlink ref="L20" r:id="rId19" xr:uid="{00000000-0004-0000-0100-000012000000}"/>
    <hyperlink ref="L21" r:id="rId20" xr:uid="{00000000-0004-0000-0100-000013000000}"/>
    <hyperlink ref="L22" r:id="rId21" xr:uid="{00000000-0004-0000-0100-000014000000}"/>
    <hyperlink ref="L23" r:id="rId22" xr:uid="{00000000-0004-0000-0100-000015000000}"/>
    <hyperlink ref="L24" r:id="rId23" xr:uid="{00000000-0004-0000-0100-000016000000}"/>
    <hyperlink ref="L25" r:id="rId24" xr:uid="{00000000-0004-0000-0100-000017000000}"/>
    <hyperlink ref="L26" r:id="rId25" xr:uid="{00000000-0004-0000-0100-000018000000}"/>
    <hyperlink ref="L27" r:id="rId26" xr:uid="{00000000-0004-0000-0100-000019000000}"/>
    <hyperlink ref="L28" r:id="rId27" xr:uid="{00000000-0004-0000-0100-00001A000000}"/>
    <hyperlink ref="L29" r:id="rId28" xr:uid="{00000000-0004-0000-0100-00001B000000}"/>
    <hyperlink ref="L30" r:id="rId29" xr:uid="{00000000-0004-0000-0100-00001C000000}"/>
    <hyperlink ref="L31" r:id="rId30" xr:uid="{00000000-0004-0000-0100-00001D000000}"/>
    <hyperlink ref="L32" r:id="rId31" xr:uid="{00000000-0004-0000-0100-00001E000000}"/>
    <hyperlink ref="L33" r:id="rId32" xr:uid="{00000000-0004-0000-0100-00001F000000}"/>
    <hyperlink ref="L34" r:id="rId33" xr:uid="{00000000-0004-0000-0100-000020000000}"/>
    <hyperlink ref="L35" r:id="rId34" xr:uid="{00000000-0004-0000-0100-000021000000}"/>
    <hyperlink ref="L36" r:id="rId35" xr:uid="{00000000-0004-0000-0100-000022000000}"/>
    <hyperlink ref="L37" r:id="rId36" xr:uid="{00000000-0004-0000-0100-000023000000}"/>
    <hyperlink ref="L38" r:id="rId37" xr:uid="{00000000-0004-0000-0100-000024000000}"/>
    <hyperlink ref="L39" r:id="rId38" xr:uid="{00000000-0004-0000-0100-000025000000}"/>
    <hyperlink ref="L40" r:id="rId39" xr:uid="{00000000-0004-0000-0100-000026000000}"/>
    <hyperlink ref="L41" r:id="rId40" xr:uid="{00000000-0004-0000-0100-000027000000}"/>
    <hyperlink ref="L42" r:id="rId41" xr:uid="{00000000-0004-0000-0100-000028000000}"/>
    <hyperlink ref="L43" r:id="rId42" xr:uid="{00000000-0004-0000-0100-000029000000}"/>
    <hyperlink ref="L44" r:id="rId43" xr:uid="{00000000-0004-0000-0100-00002A000000}"/>
    <hyperlink ref="L45" r:id="rId44" xr:uid="{00000000-0004-0000-0100-00002B000000}"/>
    <hyperlink ref="L46" r:id="rId45" xr:uid="{00000000-0004-0000-0100-00002C000000}"/>
    <hyperlink ref="L47" r:id="rId46" xr:uid="{00000000-0004-0000-0100-00002D000000}"/>
    <hyperlink ref="L48" r:id="rId47" xr:uid="{00000000-0004-0000-0100-00002E000000}"/>
    <hyperlink ref="L49" r:id="rId48" xr:uid="{00000000-0004-0000-0100-00002F000000}"/>
    <hyperlink ref="L50" r:id="rId49" xr:uid="{00000000-0004-0000-0100-00003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10" customWidth="1"/>
    <col min="3" max="3" width="11" customWidth="1"/>
    <col min="4" max="4" width="9" customWidth="1"/>
  </cols>
  <sheetData>
    <row r="1" spans="1:4" ht="30" customHeight="1" x14ac:dyDescent="0.25">
      <c r="A1" s="1" t="s">
        <v>2</v>
      </c>
      <c r="B1" s="1" t="s">
        <v>125</v>
      </c>
      <c r="C1" s="1" t="s">
        <v>278</v>
      </c>
      <c r="D1" s="1" t="s">
        <v>279</v>
      </c>
    </row>
    <row r="2" spans="1:4" x14ac:dyDescent="0.25">
      <c r="A2" s="13" t="s">
        <v>129</v>
      </c>
      <c r="B2" s="13">
        <f>COUNTIF(Votantes!$C$2:$C$61,A2)</f>
        <v>29</v>
      </c>
      <c r="C2" s="14">
        <f t="shared" ref="C2:C16" si="0">B2/$B$17</f>
        <v>0.48333333333333334</v>
      </c>
      <c r="D2" s="13">
        <f>COUNTIF(Puestos!$D$2:$D$50,A2)</f>
        <v>20</v>
      </c>
    </row>
    <row r="3" spans="1:4" x14ac:dyDescent="0.25">
      <c r="A3" s="13" t="s">
        <v>154</v>
      </c>
      <c r="B3" s="13">
        <f>COUNTIF(Votantes!$C$2:$C$61,A3)</f>
        <v>1</v>
      </c>
      <c r="C3" s="14">
        <f t="shared" si="0"/>
        <v>1.6666666666666666E-2</v>
      </c>
      <c r="D3" s="13">
        <f>COUNTIF(Puestos!$D$2:$D$50,A3)</f>
        <v>1</v>
      </c>
    </row>
    <row r="4" spans="1:4" x14ac:dyDescent="0.25">
      <c r="A4" s="13" t="s">
        <v>157</v>
      </c>
      <c r="B4" s="13">
        <f>COUNTIF(Votantes!$C$2:$C$61,A4)</f>
        <v>1</v>
      </c>
      <c r="C4" s="14">
        <f t="shared" si="0"/>
        <v>1.6666666666666666E-2</v>
      </c>
      <c r="D4" s="13">
        <f>COUNTIF(Puestos!$D$2:$D$50,A4)</f>
        <v>1</v>
      </c>
    </row>
    <row r="5" spans="1:4" x14ac:dyDescent="0.25">
      <c r="A5" s="13" t="s">
        <v>160</v>
      </c>
      <c r="B5" s="13">
        <f>COUNTIF(Votantes!$C$2:$C$61,A5)</f>
        <v>16</v>
      </c>
      <c r="C5" s="14">
        <f t="shared" si="0"/>
        <v>0.26666666666666666</v>
      </c>
      <c r="D5" s="13">
        <f>COUNTIF(Puestos!$D$2:$D$50,A5)</f>
        <v>14</v>
      </c>
    </row>
    <row r="6" spans="1:4" x14ac:dyDescent="0.25">
      <c r="A6" s="13" t="s">
        <v>174</v>
      </c>
      <c r="B6" s="13">
        <f>COUNTIF(Votantes!$C$2:$C$61,A6)</f>
        <v>1</v>
      </c>
      <c r="C6" s="14">
        <f t="shared" si="0"/>
        <v>1.6666666666666666E-2</v>
      </c>
      <c r="D6" s="13">
        <f>COUNTIF(Puestos!$D$2:$D$50,A6)</f>
        <v>1</v>
      </c>
    </row>
    <row r="7" spans="1:4" x14ac:dyDescent="0.25">
      <c r="A7" s="13" t="s">
        <v>178</v>
      </c>
      <c r="B7" s="13">
        <f>COUNTIF(Votantes!$C$2:$C$61,A7)</f>
        <v>1</v>
      </c>
      <c r="C7" s="14">
        <f t="shared" si="0"/>
        <v>1.6666666666666666E-2</v>
      </c>
      <c r="D7" s="13">
        <f>COUNTIF(Puestos!$D$2:$D$50,A7)</f>
        <v>1</v>
      </c>
    </row>
    <row r="8" spans="1:4" x14ac:dyDescent="0.25">
      <c r="A8" s="13" t="s">
        <v>182</v>
      </c>
      <c r="B8" s="13">
        <f>COUNTIF(Votantes!$C$2:$C$61,A8)</f>
        <v>1</v>
      </c>
      <c r="C8" s="14">
        <f t="shared" si="0"/>
        <v>1.6666666666666666E-2</v>
      </c>
      <c r="D8" s="13">
        <f>COUNTIF(Puestos!$D$2:$D$50,A8)</f>
        <v>1</v>
      </c>
    </row>
    <row r="9" spans="1:4" x14ac:dyDescent="0.25">
      <c r="A9" s="13" t="s">
        <v>187</v>
      </c>
      <c r="B9" s="13">
        <f>COUNTIF(Votantes!$C$2:$C$61,A9)</f>
        <v>2</v>
      </c>
      <c r="C9" s="14">
        <f t="shared" si="0"/>
        <v>3.3333333333333333E-2</v>
      </c>
      <c r="D9" s="13">
        <f>COUNTIF(Puestos!$D$2:$D$50,A9)</f>
        <v>2</v>
      </c>
    </row>
    <row r="10" spans="1:4" x14ac:dyDescent="0.25">
      <c r="A10" s="13" t="s">
        <v>213</v>
      </c>
      <c r="B10" s="13">
        <f>COUNTIF(Votantes!$C$2:$C$61,A10)</f>
        <v>1</v>
      </c>
      <c r="C10" s="14">
        <f t="shared" si="0"/>
        <v>1.6666666666666666E-2</v>
      </c>
      <c r="D10" s="13">
        <f>COUNTIF(Puestos!$D$2:$D$50,A10)</f>
        <v>1</v>
      </c>
    </row>
    <row r="11" spans="1:4" x14ac:dyDescent="0.25">
      <c r="A11" s="13" t="s">
        <v>218</v>
      </c>
      <c r="B11" s="13">
        <f>COUNTIF(Votantes!$C$2:$C$61,A11)</f>
        <v>1</v>
      </c>
      <c r="C11" s="14">
        <f t="shared" si="0"/>
        <v>1.6666666666666666E-2</v>
      </c>
      <c r="D11" s="13">
        <f>COUNTIF(Puestos!$D$2:$D$50,A11)</f>
        <v>1</v>
      </c>
    </row>
    <row r="12" spans="1:4" x14ac:dyDescent="0.25">
      <c r="A12" s="13" t="s">
        <v>222</v>
      </c>
      <c r="B12" s="13">
        <f>COUNTIF(Votantes!$C$2:$C$61,A12)</f>
        <v>1</v>
      </c>
      <c r="C12" s="14">
        <f t="shared" si="0"/>
        <v>1.6666666666666666E-2</v>
      </c>
      <c r="D12" s="13">
        <f>COUNTIF(Puestos!$D$2:$D$50,A12)</f>
        <v>1</v>
      </c>
    </row>
    <row r="13" spans="1:4" x14ac:dyDescent="0.25">
      <c r="A13" s="13" t="s">
        <v>226</v>
      </c>
      <c r="B13" s="13">
        <f>COUNTIF(Votantes!$C$2:$C$61,A13)</f>
        <v>1</v>
      </c>
      <c r="C13" s="14">
        <f t="shared" si="0"/>
        <v>1.6666666666666666E-2</v>
      </c>
      <c r="D13" s="13">
        <f>COUNTIF(Puestos!$D$2:$D$50,A13)</f>
        <v>1</v>
      </c>
    </row>
    <row r="14" spans="1:4" x14ac:dyDescent="0.25">
      <c r="A14" s="13" t="s">
        <v>243</v>
      </c>
      <c r="B14" s="13">
        <f>COUNTIF(Votantes!$C$2:$C$61,A14)</f>
        <v>1</v>
      </c>
      <c r="C14" s="14">
        <f t="shared" si="0"/>
        <v>1.6666666666666666E-2</v>
      </c>
      <c r="D14" s="13">
        <f>COUNTIF(Puestos!$D$2:$D$50,A14)</f>
        <v>1</v>
      </c>
    </row>
    <row r="15" spans="1:4" x14ac:dyDescent="0.25">
      <c r="A15" s="13" t="s">
        <v>258</v>
      </c>
      <c r="B15" s="13">
        <f>COUNTIF(Votantes!$C$2:$C$61,A15)</f>
        <v>2</v>
      </c>
      <c r="C15" s="14">
        <f t="shared" si="0"/>
        <v>3.3333333333333333E-2</v>
      </c>
      <c r="D15" s="13">
        <f>COUNTIF(Puestos!$D$2:$D$50,A15)</f>
        <v>2</v>
      </c>
    </row>
    <row r="16" spans="1:4" x14ac:dyDescent="0.25">
      <c r="A16" s="13" t="s">
        <v>263</v>
      </c>
      <c r="B16" s="13">
        <f>COUNTIF(Votantes!$C$2:$C$61,A16)</f>
        <v>1</v>
      </c>
      <c r="C16" s="14">
        <f t="shared" si="0"/>
        <v>1.6666666666666666E-2</v>
      </c>
      <c r="D16" s="13">
        <f>COUNTIF(Puestos!$D$2:$D$50,A16)</f>
        <v>1</v>
      </c>
    </row>
    <row r="17" spans="1:4" x14ac:dyDescent="0.25">
      <c r="A17" s="12" t="s">
        <v>276</v>
      </c>
      <c r="B17" s="12">
        <f>SUM(B2:B16)</f>
        <v>60</v>
      </c>
      <c r="D17" s="12">
        <f>SUM(D2:D16)</f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Votantes</vt:lpstr>
      <vt:lpstr>Puestos</vt:lpstr>
      <vt:lpstr>Resumen municipio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RICHARD BELLO</cp:lastModifiedBy>
  <cp:revision>0</cp:revision>
  <dcterms:created xsi:type="dcterms:W3CDTF">2026-10-21T17:06:03Z</dcterms:created>
  <dcterms:modified xsi:type="dcterms:W3CDTF">2026-10-21T18:08:38Z</dcterms:modified>
  <dc:language>en-US</dc:language>
</cp:coreProperties>
</file>